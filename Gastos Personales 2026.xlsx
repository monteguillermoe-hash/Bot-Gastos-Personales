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Personales 2026" sheetId="1" r:id="rId5"/>
    <sheet state="visible" name="Listas" sheetId="2" r:id="rId6"/>
  </sheets>
  <definedNames>
    <definedName hidden="1" localSheetId="0" name="_xlnm._FilterDatabase">'Gastos Personales 2026'!$A$1:$I$1901</definedName>
  </definedNames>
  <calcPr/>
</workbook>
</file>

<file path=xl/sharedStrings.xml><?xml version="1.0" encoding="utf-8"?>
<sst xmlns="http://schemas.openxmlformats.org/spreadsheetml/2006/main" count="1112" uniqueCount="248">
  <si>
    <t>Fecha</t>
  </si>
  <si>
    <t>Hora</t>
  </si>
  <si>
    <t>Concepto</t>
  </si>
  <si>
    <t>Importe</t>
  </si>
  <si>
    <t>Rubro Principal</t>
  </si>
  <si>
    <t>Sub-rubro</t>
  </si>
  <si>
    <t>Medio de Pago</t>
  </si>
  <si>
    <t>Dólar BNA</t>
  </si>
  <si>
    <t>Importe en USD</t>
  </si>
  <si>
    <t>DERMAGLOS FPS50 FACIAL 50GR Y DERMAGLOS PROTECTOR SOLAR FP50 250ML CUOTA 3/3</t>
  </si>
  <si>
    <t>Gasto Corriente</t>
  </si>
  <si>
    <t>Cuidado Personal</t>
  </si>
  <si>
    <t>Tarjeta Crédito</t>
  </si>
  <si>
    <t>IMPUESTO DE SELLOS MP</t>
  </si>
  <si>
    <t>Gastos Bancarios</t>
  </si>
  <si>
    <t>IETE Hogar Cristiano I</t>
  </si>
  <si>
    <t>Educación/Formación</t>
  </si>
  <si>
    <t>Formación espiritual</t>
  </si>
  <si>
    <t>Transferencia</t>
  </si>
  <si>
    <t>Arreglo colocacion cinturones de seguridad</t>
  </si>
  <si>
    <t>Vehiculo: Mantenimiento</t>
  </si>
  <si>
    <t>PELUQUERIA</t>
  </si>
  <si>
    <t>GIMNASIO</t>
  </si>
  <si>
    <t>Bienestar/Deportes</t>
  </si>
  <si>
    <t>Cuota prestamos ICBC</t>
  </si>
  <si>
    <t>Préstamos y Financiación</t>
  </si>
  <si>
    <t>Debito en cuenta</t>
  </si>
  <si>
    <t>Celular</t>
  </si>
  <si>
    <t>Telefonia movil</t>
  </si>
  <si>
    <t>Tarjeta Débito</t>
  </si>
  <si>
    <t>COMIDA VIAJE A RETA</t>
  </si>
  <si>
    <t>Salidas y Viajes</t>
  </si>
  <si>
    <t>COMBUSTIBLE VIAJE A RETA</t>
  </si>
  <si>
    <t>Corralón Alemani (Cuota 9/12)</t>
  </si>
  <si>
    <t>Obra/Estructura</t>
  </si>
  <si>
    <t>Materiales</t>
  </si>
  <si>
    <t>NSS*COLORSHOP (Cuota 9/12) PINTURA INTERIOR CASA</t>
  </si>
  <si>
    <t>SIMPLICITY TRES ARRO (Cuota 8/12)</t>
  </si>
  <si>
    <t>WWWDIGITALSPORTCOMAR (Cuota 7/9)</t>
  </si>
  <si>
    <t>Indumentaria</t>
  </si>
  <si>
    <t>COOP OBRERA HOGAR (Cuota 7/12) RECORTADORA DE BARBA</t>
  </si>
  <si>
    <t>MACOWENS (Cuota 6/12) ROPA DE TRABAJO</t>
  </si>
  <si>
    <t>PERFUMERIA PIGMENTO (Cuota 6/24) PERFUMES BLUE SEDUCTION ANTONIO BANDERA</t>
  </si>
  <si>
    <t>MERPAGO*MERCADOLIBRE (Cuota 6/6) CALEFACTOR</t>
  </si>
  <si>
    <t>Vivienda Casa de Papá</t>
  </si>
  <si>
    <t>MERPAGO*2PRODUCTOS (Cuota 5/6) Valija Carry on. Samsonite Fiero 3.0</t>
  </si>
  <si>
    <t>MERPAGO*2PRODUCTOS (Cuota 5/6) PEGASUS 40</t>
  </si>
  <si>
    <t>NSS*R.D ROPA DEPORTIVA (Cuota 5/6) Pantalones largos deportivos</t>
  </si>
  <si>
    <t>MERPAGO*MERCADOLIBRE (Cuota 2/3)</t>
  </si>
  <si>
    <t>3 ARROYOS TAJ (Cuota 2/3) Pasaje Bahia Blanca</t>
  </si>
  <si>
    <t>MERPAGO*PASAJESPLU (Cuota 2/6) Pasaje Bahia Blanca</t>
  </si>
  <si>
    <t>YPF LAVALLE</t>
  </si>
  <si>
    <t>Vehiculo: Consumo</t>
  </si>
  <si>
    <t>PAGOS360*APPLUSITEUVEARG</t>
  </si>
  <si>
    <t>NACION SEGUROS</t>
  </si>
  <si>
    <t>VEA SM 704 MODO</t>
  </si>
  <si>
    <t>IMPUESTO INMOBILIARIO</t>
  </si>
  <si>
    <t>ZURICH INTERNA0000002941088-</t>
  </si>
  <si>
    <t>Ahorro/Inversiones</t>
  </si>
  <si>
    <t>Seguro de retiro</t>
  </si>
  <si>
    <t>MERPAGO*PHOTOSTORE Kit accesorios baño kit set 4 piezas Piazza Cube Nickel</t>
  </si>
  <si>
    <t>Sanitarios/Grifería</t>
  </si>
  <si>
    <t>MERPAGO*LOS2HERMANOS. DOS ENSALADAS DE FRUTAS</t>
  </si>
  <si>
    <t>MERPAGO*BERNOVA Vanitory Colgante Bernova 2 65cm Olmo Finlandes Doble Cajon</t>
  </si>
  <si>
    <t>Juego de toalla y toallon blanco</t>
  </si>
  <si>
    <t>Equipamiento/Mobiliario</t>
  </si>
  <si>
    <t>Bazar y Blanco</t>
  </si>
  <si>
    <t>Llave Cruz</t>
  </si>
  <si>
    <t>Florero Jarron Nordico</t>
  </si>
  <si>
    <t>Donacion/regalos</t>
  </si>
  <si>
    <t>Kit x 12 Taper Hermetico de Vidrio</t>
  </si>
  <si>
    <t>IMPUESTO DE SELLOS BNA</t>
  </si>
  <si>
    <t>PAPELES CARTA</t>
  </si>
  <si>
    <t>EMPANADAS 6 UNIDADES PANZA LLENA</t>
  </si>
  <si>
    <t>Curso de masajes (Cuota 1 de 6)</t>
  </si>
  <si>
    <t>Oficio</t>
  </si>
  <si>
    <t>SERV. U OTROS CONCEPTOS CPS</t>
  </si>
  <si>
    <t>Seguridad Social / Aportes</t>
  </si>
  <si>
    <t>Recibo de Sueldo</t>
  </si>
  <si>
    <t>Cuota prestamos</t>
  </si>
  <si>
    <t>Cuota prestamo hipotecario</t>
  </si>
  <si>
    <t>Nacion Retiro Aporte Ordinario</t>
  </si>
  <si>
    <t>Futbol</t>
  </si>
  <si>
    <t>Efectivo</t>
  </si>
  <si>
    <t>MOCHILA MATERA REGALO LUDMILA (Cuota 1/3)</t>
  </si>
  <si>
    <t>Combustible</t>
  </si>
  <si>
    <t>Moto: Consumo</t>
  </si>
  <si>
    <t>Combustible 6,9 litros</t>
  </si>
  <si>
    <t>PORC LIFE TIZA NAT RECT 58X117 7 PIEZAS</t>
  </si>
  <si>
    <t>VAR ACERO UT 12X15 MATE</t>
  </si>
  <si>
    <t>Terminaciones: Cocina</t>
  </si>
  <si>
    <t>SET TACHOS DE BASURA 3 LTS Y ESCOBILLA BAÑO BLANCO MADERA PLATEADO</t>
  </si>
  <si>
    <t>Baño/Accesorios</t>
  </si>
  <si>
    <t>JUEGO TOALLA Y TOALLON TERRA 420 GR</t>
  </si>
  <si>
    <t>MANIJA CRIQUET GATO TOYOTA COROLLA ORIGINAL</t>
  </si>
  <si>
    <t>IMPUESTO DE SELLOS BCO DEL SOL</t>
  </si>
  <si>
    <t>Potrerillos Explorer Excursiones Canopy, kayak, rafting Seña</t>
  </si>
  <si>
    <t>Linea 1 De liniers al caballito</t>
  </si>
  <si>
    <t>Alojamiento Hostel 7 noches</t>
  </si>
  <si>
    <t>Excursiones Camino del vino, alta montaña, cañon del atuel y valle de uco</t>
  </si>
  <si>
    <t>Comida - Fruta</t>
  </si>
  <si>
    <t>IETE Evangelismo Personal</t>
  </si>
  <si>
    <t>Potrerillos Explorer Excursiones Canopy, kayak, rafting Resto</t>
  </si>
  <si>
    <t>Potrerillos Explorer Excursiones Cabalgata</t>
  </si>
  <si>
    <t>Restaurante Sorrentinos Potrerillos</t>
  </si>
  <si>
    <t>Corralón Alemani (Cuota 10/12)</t>
  </si>
  <si>
    <t>WWWDIGITALSPORTCOMAR (Cuota 8/9)</t>
  </si>
  <si>
    <t>COOP OBRERA HOGAR (Cuota 8/12) RECORTADORA DE BARBA</t>
  </si>
  <si>
    <t>MACOWENS (Cuota 7/12) ROPA DE TRABAJO</t>
  </si>
  <si>
    <t>PERFUMERIA PIGMENTO (Cuota 7/24) PERFUMES BLUE SEDUCTION ANTONIO BANDERA</t>
  </si>
  <si>
    <t>MERPAGO*2PRODUCTOS (Cuota 6/6) Valija Carry on. Samsonite Fiero 3.0</t>
  </si>
  <si>
    <t>MERPAGO*2PRODUCTOS (Cuota 6/6) PEGASUS 40</t>
  </si>
  <si>
    <t>NSS*R.D ROPA DEPORTIVA (Cuota 6/6) Pantalones largos deportivos</t>
  </si>
  <si>
    <t>MERPAGO*MERCADOLIBRE (Cuota 3/3)</t>
  </si>
  <si>
    <t>3 ARROYOS TAJ (Cuota 3/3) Pasaje Bahia Blanca</t>
  </si>
  <si>
    <t>MERPAGO*PASAJESPLU (Cuota 3/6) Pasaje Bahia Blanca</t>
  </si>
  <si>
    <t>Heladeria Alpinos 1/2 kilo</t>
  </si>
  <si>
    <t>Camuzzi instalación medidor</t>
  </si>
  <si>
    <t>Instalaciones</t>
  </si>
  <si>
    <t>Seguro de incendio</t>
  </si>
  <si>
    <t>Vivienda: Mantenimiento</t>
  </si>
  <si>
    <t>Seguro de la moto</t>
  </si>
  <si>
    <t>Moto: Mantenimiento</t>
  </si>
  <si>
    <t>Impuesto municipal Urbanos Pueyrredon 198</t>
  </si>
  <si>
    <t>Impuesto municipal Urbanos Falucho 901</t>
  </si>
  <si>
    <t>Aporte Familiar</t>
  </si>
  <si>
    <t>Impuesto municipal Urbanos Falucho 925</t>
  </si>
  <si>
    <t>TOMATES Y ZANAHORIA</t>
  </si>
  <si>
    <t>Comida</t>
  </si>
  <si>
    <t>CARNE PICADA</t>
  </si>
  <si>
    <t>MERPAGO*POLLOFRITO</t>
  </si>
  <si>
    <t>Dos sanguches camino a cañon del atuel</t>
  </si>
  <si>
    <t>Fruta 3 bananas y 2 naranjas</t>
  </si>
  <si>
    <t>Entrada a bodega + Almuerzo</t>
  </si>
  <si>
    <t>Pasaje Mendoza Cacheuta</t>
  </si>
  <si>
    <t>Uber en Mendoza desde el hotel al aeropuerto</t>
  </si>
  <si>
    <t>Linea 8. Desde aeroparque a caballito</t>
  </si>
  <si>
    <t>Linea 1. Desde caballito a liniers</t>
  </si>
  <si>
    <t>Arreglo pinchadura bicicleta</t>
  </si>
  <si>
    <t>Transporte</t>
  </si>
  <si>
    <t>Bateria M22ED Moura 12-50 AH Alta</t>
  </si>
  <si>
    <t>MOCHILA MATERA REGALO LUDMILA (Cuota 2/3)</t>
  </si>
  <si>
    <t>Candado inomax 40mm aleacion reforzada, 4 digitos (Cuota 1/3)</t>
  </si>
  <si>
    <t>Adaptador triple enchufe multinorma blanco 3 tomas tc pc ps5 (Cuota 1/3)</t>
  </si>
  <si>
    <t>Protector solar cavihaue pediatrico fps 70+ 90 gramos (Cuota 1/3)</t>
  </si>
  <si>
    <t>Repuesto de jabón liquido infantil natura mamá y bebé de cabeza a los pies 200 ml (Cuota 1/3)</t>
  </si>
  <si>
    <t>Atomizador de perfume para viaje negro (Cuota 1/3)</t>
  </si>
  <si>
    <t>Desodorante antitranspirante roll-on kaiak urbe 48hs natura (Cuota 1/3)</t>
  </si>
  <si>
    <t>Toallon magico microfibra secado rapido 140x70 cm (Cuota 1/3)</t>
  </si>
  <si>
    <t>Organizador neceser de viaje con percha portacosmeticos mujer plegable impermeable (Cuota 1/3)</t>
  </si>
  <si>
    <t>Tapones para oidos zertec reduccion ruido protector auditivo (Cuota 1/3)</t>
  </si>
  <si>
    <t>Set botellas recargables de plastico lookmy envases recargables para cremas y liquidos (Cuota 1/3)</t>
  </si>
  <si>
    <t>Impuesto sellos Mercado Pago</t>
  </si>
  <si>
    <t>Ofrenda misionera escuela chad</t>
  </si>
  <si>
    <t>Ofrenda CDD</t>
  </si>
  <si>
    <t>Regalo pastores</t>
  </si>
  <si>
    <t>Mueble cocina</t>
  </si>
  <si>
    <t>Mobiliario Fijo y Equipamiento</t>
  </si>
  <si>
    <t>Corralón Alemani (Cuota 11/12)</t>
  </si>
  <si>
    <t>SIMPLICITY TRES ARRO (Cuota 10/12)</t>
  </si>
  <si>
    <t>WWWDIGITALSPORTCOMAR (Cuota 9/9)</t>
  </si>
  <si>
    <t>Camuzzi</t>
  </si>
  <si>
    <t>Impuesto municipal sanitarios Falucho 901</t>
  </si>
  <si>
    <t>Impuesto municipal Sanitarios Pueyrredon 198</t>
  </si>
  <si>
    <t>3 ARROYOS TAJ (Cuota 1/3) Pasaje CABA</t>
  </si>
  <si>
    <t>Cooperativa Obrera</t>
  </si>
  <si>
    <t>ARBA</t>
  </si>
  <si>
    <t>Carniceria La Tabita</t>
  </si>
  <si>
    <t>Andesmar Mendoza a Potrerillos (Cuota 1/3)</t>
  </si>
  <si>
    <t>Andesmar Mendoza a Cacheuta (Cuota 1/3)</t>
  </si>
  <si>
    <t>Termas de cacheuta</t>
  </si>
  <si>
    <t>Uber desde caballito a Aeroparque</t>
  </si>
  <si>
    <t>Desde Aeropuerto mendoza al Hostes windmill</t>
  </si>
  <si>
    <t>Bloxmax</t>
  </si>
  <si>
    <t>Vino Bodega Corbel</t>
  </si>
  <si>
    <t>Market Las Heras</t>
  </si>
  <si>
    <t>Aguifarma (Cuota 1/3)</t>
  </si>
  <si>
    <t>Kiosco agua y masitas</t>
  </si>
  <si>
    <t>Camcas agua y masitas</t>
  </si>
  <si>
    <t>La cueva de inca aceite de oliva y llavero</t>
  </si>
  <si>
    <t>Express av vicenta zapata</t>
  </si>
  <si>
    <t>Carrefour agua</t>
  </si>
  <si>
    <t>Termas de cacheuta agua de 500ml</t>
  </si>
  <si>
    <t>Merienda</t>
  </si>
  <si>
    <t>Calentar agua caliente para el mate</t>
  </si>
  <si>
    <t>Factura claro pay celular descuento del 15% por pagar por la app claro pay</t>
  </si>
  <si>
    <t>Peluqueria</t>
  </si>
  <si>
    <t>Arreglo pinchadura bicicleta - cambio de camara</t>
  </si>
  <si>
    <t>IETE Evangelios sinopticos</t>
  </si>
  <si>
    <t>MOCHILA MATERA REGALO LUDMILA (Cuota 3/3)</t>
  </si>
  <si>
    <t>Candado inomax 40mm aleacion reforzada, 4 digitos (Cuota 2/3)</t>
  </si>
  <si>
    <t>Adaptador triple enchufe multinorma blanco 3 tomas tc pc ps5 (Cuota 2/3)</t>
  </si>
  <si>
    <t>Protector solar cavihaue pediatrico fps 70+ 90 gramos (Cuota 2/3)</t>
  </si>
  <si>
    <t>Repuesto de jabón liquido infantil natura mamá y bebé de cabeza a los pies 200 ml (Cuota 2/3)</t>
  </si>
  <si>
    <t>Atomizador de perfume para viaje negro (Cuota 2/3)</t>
  </si>
  <si>
    <t>Desodorante antitranspirante roll-on kaiak urbe 48hs natura (Cuota 2/3)</t>
  </si>
  <si>
    <t>Toallon magico microfibra secado rapido 140x70 cm (Cuota 2/3)</t>
  </si>
  <si>
    <t>Organizador neceser de viaje con percha portacosmeticos mujer plegable impermeable (Cuota 2/3)</t>
  </si>
  <si>
    <t>Tapones para oidos zertec reduccion ruido protector auditivo (Cuota 2/3)</t>
  </si>
  <si>
    <t>Set botellas recargables de plastico lookmy envases recargables para cremas y liquidos (Cuota 2/3)</t>
  </si>
  <si>
    <t>Gomitas</t>
  </si>
  <si>
    <t>Materiales alemani</t>
  </si>
  <si>
    <t>Altura - cables y 5 tapas ciegas</t>
  </si>
  <si>
    <t>Recubrir escalones escalera con PVC 50%</t>
  </si>
  <si>
    <t>Corralón Alemani (Cuota 12/12)</t>
  </si>
  <si>
    <t>NSS*COLORSHOP (Cuota 12/12) PINTURA INTERIOR CASA</t>
  </si>
  <si>
    <t>SIMPLICITY TRES ARRO (Cuota 11/12)</t>
  </si>
  <si>
    <t>COOP OBRERA HOGAR (Cuota 10/12) RECORTADORA DE BARBA</t>
  </si>
  <si>
    <t>MACOWENS (Cuota 9/12) ROPA DE TRABAJO</t>
  </si>
  <si>
    <t>PERFUMERIA PIGMENTO (Cuota 9/24) PERFUMES BLUE SEDUCTION ANTONIO BANDERA</t>
  </si>
  <si>
    <t>3 ARROYOS TAJ (Cuota 2/3) Pasaje CABA</t>
  </si>
  <si>
    <t>Andesmar Mendoza a Potrerillos (Cuota 2/3)</t>
  </si>
  <si>
    <t>Andesmar Mendoza a Cacheuta (Cuota 2/3)</t>
  </si>
  <si>
    <t>Aguifarma (Cuota /3)</t>
  </si>
  <si>
    <t>Impuesto municipal sanitarios Falucho 925</t>
  </si>
  <si>
    <t>Impuesto automotor municipal FRL 063</t>
  </si>
  <si>
    <t>Amazon</t>
  </si>
  <si>
    <t>Seguro del auto NACION SEGUROS</t>
  </si>
  <si>
    <t>Partido Basquet Final torneo ciudad Huracan vs Argentino Junior Polideportivo</t>
  </si>
  <si>
    <t>7 Facturas YPF</t>
  </si>
  <si>
    <t>Cena Bondiola JCD</t>
  </si>
  <si>
    <t>20:13:40</t>
  </si>
  <si>
    <t>Plomeria Chacabuco</t>
  </si>
  <si>
    <t>Candado inomax 40mm aleacion reforzada, 4 digitos (Cuota 3/3)</t>
  </si>
  <si>
    <t>Adaptador triple enchufe multinorma blanco 3 tomas tc pc ps5 (Cuota 3/3)</t>
  </si>
  <si>
    <t>Protector solar cavihaue pediatrico fps 70+ 90 gramos (Cuota 3/3)</t>
  </si>
  <si>
    <t>Repuesto de jabón liquido infantil natura mamá y bebé de cabeza a los pies 200 ml (Cuota 3/3)</t>
  </si>
  <si>
    <t>Atomizador de perfume para viaje negro (Cuota 3/3)</t>
  </si>
  <si>
    <t>Desodorante antitranspirante roll-on kaiak urbe 48hs natura (Cuota 3/3)</t>
  </si>
  <si>
    <t>Toallon magico microfibra secado rapido 140x70 cm (Cuota 3/3)</t>
  </si>
  <si>
    <t>Organizador neceser de viaje con percha portacosmeticos mujer plegable impermeable (Cuota 3/3)</t>
  </si>
  <si>
    <t>Tapones para oidos zertec reduccion ruido protector auditivo (Cuota 3/3)</t>
  </si>
  <si>
    <t>Set botellas recargables de plastico lookmy envases recargables para cremas y liquidos (Cuota 3/3)</t>
  </si>
  <si>
    <t>PANEL PLAFON LED PHILIPS EMBUTIR REDONDO 18W LUZ DIA BLANCO X3 (Cuota 1/3)</t>
  </si>
  <si>
    <t>PANEL PLAFON LED PHILIPS EMBUTIR CUADRO 12W LUZ DIA BLANCO X2 (Cuota 1/3)</t>
  </si>
  <si>
    <t>SPOT EMBUTIR MOVIL DICRO LED ZOCALO GU10 MACROLED (Cuota 1/3)</t>
  </si>
  <si>
    <t>FERROLUX AP-102</t>
  </si>
  <si>
    <t>Lámpara Led Gu-10 Dicro Smart Rgb Wifi-bluetooth (Cuota 1/3)</t>
  </si>
  <si>
    <t>Set x3 Tabla cocina Profesional Picar cortar (Cuota 1/3)</t>
  </si>
  <si>
    <t>Lámpara Led E27 Smart Rgb Wifi-bluetooth 8w (Cuota 1/3)</t>
  </si>
  <si>
    <t>Pendrive Kingston Datatraveler Exodia Dtx764gb 3.2 gen color negro (Cuota 1/3)</t>
  </si>
  <si>
    <t>Mini perfumero portatil recargable premium 5ml atomizador (Cuota 1/3)</t>
  </si>
  <si>
    <t>Lampara Led Dicroica Sica Gu10 6w=50w luz fría X10u</t>
  </si>
  <si>
    <t>Perro conejo interactivo mascota sonidos mueve cola camina conejo rosa</t>
  </si>
  <si>
    <t>YPF COMBUSTIBLE</t>
  </si>
  <si>
    <t>Almuerzo con amigos</t>
  </si>
  <si>
    <t>Restaurante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</si>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</sst>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0" fillId="0" fontId="2" numFmtId="21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astos Personales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901" displayName="Tabla_1" name="Tabla_1" id="1">
  <autoFilter ref="$A$1:$I$1901"/>
  <tableColumns count="9">
    <tableColumn name="Fecha" id="1"/>
    <tableColumn name="Hora" id="2"/>
    <tableColumn name="Concepto" id="3"/>
    <tableColumn name="Importe" id="4"/>
    <tableColumn name="Rubro Principal" id="5"/>
    <tableColumn name="Sub-rubro" id="6"/>
    <tableColumn name="Medio de Pago" id="7"/>
    <tableColumn name="Dólar BNA" id="8"/>
    <tableColumn name="Importe en USD" id="9"/>
  </tableColumns>
  <tableStyleInfo name="Gastos Personales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9.25"/>
    <col customWidth="1" min="3" max="3" width="37.63"/>
    <col customWidth="1" min="4" max="4" width="14.88"/>
    <col customWidth="1" min="5" max="5" width="22.0"/>
    <col customWidth="1" min="6" max="6" width="25.0"/>
    <col customWidth="1" min="7" max="7" width="20.5"/>
    <col customWidth="1" min="8" max="8" width="13.13"/>
    <col customWidth="1" min="9" max="9" width="17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ht="22.5" customHeight="1">
      <c r="A2" s="4">
        <v>46024.0</v>
      </c>
      <c r="B2" s="4"/>
      <c r="C2" s="5" t="s">
        <v>9</v>
      </c>
      <c r="D2" s="6">
        <v>21940.37</v>
      </c>
      <c r="E2" s="5" t="s">
        <v>10</v>
      </c>
      <c r="F2" s="5" t="s">
        <v>11</v>
      </c>
      <c r="G2" s="7" t="s">
        <v>12</v>
      </c>
    </row>
    <row r="3" ht="22.5" customHeight="1">
      <c r="A3" s="4">
        <v>46024.0</v>
      </c>
      <c r="B3" s="4"/>
      <c r="C3" s="5" t="s">
        <v>13</v>
      </c>
      <c r="D3" s="6">
        <v>263.28</v>
      </c>
      <c r="E3" s="5" t="s">
        <v>10</v>
      </c>
      <c r="F3" s="5" t="s">
        <v>14</v>
      </c>
      <c r="G3" s="7" t="s">
        <v>12</v>
      </c>
    </row>
    <row r="4" ht="22.5" customHeight="1">
      <c r="A4" s="4">
        <v>46025.0</v>
      </c>
      <c r="B4" s="4"/>
      <c r="C4" s="5" t="s">
        <v>15</v>
      </c>
      <c r="D4" s="6">
        <v>26250.0</v>
      </c>
      <c r="E4" s="5" t="s">
        <v>16</v>
      </c>
      <c r="F4" s="5" t="s">
        <v>17</v>
      </c>
      <c r="G4" s="7" t="s">
        <v>18</v>
      </c>
    </row>
    <row r="5" ht="22.5" customHeight="1">
      <c r="A5" s="4">
        <v>46027.0</v>
      </c>
      <c r="B5" s="4"/>
      <c r="C5" s="5" t="s">
        <v>19</v>
      </c>
      <c r="D5" s="6">
        <v>10000.0</v>
      </c>
      <c r="E5" s="5" t="s">
        <v>10</v>
      </c>
      <c r="F5" s="5" t="s">
        <v>20</v>
      </c>
      <c r="G5" s="7" t="s">
        <v>18</v>
      </c>
    </row>
    <row r="6" ht="22.5" customHeight="1">
      <c r="A6" s="4">
        <v>46029.0</v>
      </c>
      <c r="B6" s="4"/>
      <c r="C6" s="5" t="s">
        <v>21</v>
      </c>
      <c r="D6" s="6">
        <v>8000.0</v>
      </c>
      <c r="E6" s="5" t="s">
        <v>10</v>
      </c>
      <c r="F6" s="5" t="s">
        <v>11</v>
      </c>
      <c r="G6" s="7" t="s">
        <v>18</v>
      </c>
    </row>
    <row r="7" ht="22.5" customHeight="1">
      <c r="A7" s="4">
        <v>46030.0</v>
      </c>
      <c r="B7" s="4"/>
      <c r="C7" s="5" t="s">
        <v>22</v>
      </c>
      <c r="D7" s="6">
        <v>38000.0</v>
      </c>
      <c r="E7" s="5" t="s">
        <v>10</v>
      </c>
      <c r="F7" s="5" t="s">
        <v>23</v>
      </c>
      <c r="G7" s="7" t="s">
        <v>18</v>
      </c>
    </row>
    <row r="8" ht="22.5" customHeight="1">
      <c r="A8" s="4">
        <v>46031.0</v>
      </c>
      <c r="B8" s="4"/>
      <c r="C8" s="5" t="s">
        <v>24</v>
      </c>
      <c r="D8" s="6">
        <v>83333.45</v>
      </c>
      <c r="E8" s="5" t="s">
        <v>10</v>
      </c>
      <c r="F8" s="5" t="s">
        <v>25</v>
      </c>
      <c r="G8" s="7" t="s">
        <v>26</v>
      </c>
    </row>
    <row r="9" ht="22.5" customHeight="1">
      <c r="A9" s="4">
        <v>46034.0</v>
      </c>
      <c r="B9" s="4"/>
      <c r="C9" s="5" t="s">
        <v>27</v>
      </c>
      <c r="D9" s="6">
        <v>11500.0</v>
      </c>
      <c r="E9" s="5" t="s">
        <v>10</v>
      </c>
      <c r="F9" s="8" t="s">
        <v>28</v>
      </c>
      <c r="G9" s="7" t="s">
        <v>29</v>
      </c>
    </row>
    <row r="10" ht="22.5" customHeight="1">
      <c r="A10" s="4">
        <v>46037.0</v>
      </c>
      <c r="B10" s="4"/>
      <c r="C10" s="5" t="s">
        <v>30</v>
      </c>
      <c r="D10" s="6">
        <v>10700.0</v>
      </c>
      <c r="E10" s="5" t="s">
        <v>10</v>
      </c>
      <c r="F10" s="8" t="s">
        <v>31</v>
      </c>
      <c r="G10" s="7" t="s">
        <v>18</v>
      </c>
    </row>
    <row r="11" ht="22.5" customHeight="1">
      <c r="A11" s="4">
        <v>46037.0</v>
      </c>
      <c r="B11" s="4"/>
      <c r="C11" s="5" t="s">
        <v>32</v>
      </c>
      <c r="D11" s="6">
        <v>9300.0</v>
      </c>
      <c r="E11" s="5" t="s">
        <v>10</v>
      </c>
      <c r="F11" s="5" t="s">
        <v>31</v>
      </c>
      <c r="G11" s="7" t="s">
        <v>18</v>
      </c>
    </row>
    <row r="12" ht="22.5" customHeight="1">
      <c r="A12" s="4">
        <v>46043.0</v>
      </c>
      <c r="B12" s="4"/>
      <c r="C12" s="5" t="s">
        <v>33</v>
      </c>
      <c r="D12" s="6">
        <v>11947.52</v>
      </c>
      <c r="E12" s="5" t="s">
        <v>34</v>
      </c>
      <c r="F12" s="5" t="s">
        <v>35</v>
      </c>
      <c r="G12" s="7" t="s">
        <v>12</v>
      </c>
    </row>
    <row r="13" ht="22.5" customHeight="1">
      <c r="A13" s="4">
        <v>46043.0</v>
      </c>
      <c r="B13" s="4"/>
      <c r="C13" s="5" t="s">
        <v>36</v>
      </c>
      <c r="D13" s="6">
        <v>31195.52</v>
      </c>
      <c r="E13" s="5" t="s">
        <v>34</v>
      </c>
      <c r="F13" s="5" t="s">
        <v>35</v>
      </c>
      <c r="G13" s="7" t="s">
        <v>12</v>
      </c>
    </row>
    <row r="14" ht="22.5" customHeight="1">
      <c r="A14" s="4">
        <v>46043.0</v>
      </c>
      <c r="B14" s="4"/>
      <c r="C14" s="5" t="s">
        <v>37</v>
      </c>
      <c r="D14" s="6">
        <v>1207.5</v>
      </c>
      <c r="E14" s="5" t="s">
        <v>10</v>
      </c>
      <c r="F14" s="5" t="s">
        <v>11</v>
      </c>
      <c r="G14" s="7" t="s">
        <v>12</v>
      </c>
    </row>
    <row r="15" ht="22.5" customHeight="1">
      <c r="A15" s="4">
        <v>46043.0</v>
      </c>
      <c r="B15" s="4"/>
      <c r="C15" s="5" t="s">
        <v>38</v>
      </c>
      <c r="D15" s="6">
        <v>19888.77</v>
      </c>
      <c r="E15" s="5" t="s">
        <v>10</v>
      </c>
      <c r="F15" s="5" t="s">
        <v>39</v>
      </c>
      <c r="G15" s="7" t="s">
        <v>12</v>
      </c>
    </row>
    <row r="16" ht="22.5" customHeight="1">
      <c r="A16" s="4">
        <v>46043.0</v>
      </c>
      <c r="B16" s="4"/>
      <c r="C16" s="5" t="s">
        <v>40</v>
      </c>
      <c r="D16" s="6">
        <v>2449.91</v>
      </c>
      <c r="E16" s="5" t="s">
        <v>10</v>
      </c>
      <c r="F16" s="5" t="s">
        <v>11</v>
      </c>
      <c r="G16" s="7" t="s">
        <v>12</v>
      </c>
    </row>
    <row r="17" ht="22.5" customHeight="1">
      <c r="A17" s="4">
        <v>46043.0</v>
      </c>
      <c r="B17" s="4"/>
      <c r="C17" s="5" t="s">
        <v>41</v>
      </c>
      <c r="D17" s="6">
        <v>8215.25</v>
      </c>
      <c r="E17" s="5" t="s">
        <v>10</v>
      </c>
      <c r="F17" s="5" t="s">
        <v>39</v>
      </c>
      <c r="G17" s="7" t="s">
        <v>12</v>
      </c>
    </row>
    <row r="18" ht="22.5" customHeight="1">
      <c r="A18" s="4">
        <v>46043.0</v>
      </c>
      <c r="B18" s="4"/>
      <c r="C18" s="5" t="s">
        <v>42</v>
      </c>
      <c r="D18" s="6">
        <v>4478.41</v>
      </c>
      <c r="E18" s="5" t="s">
        <v>10</v>
      </c>
      <c r="F18" s="5" t="s">
        <v>11</v>
      </c>
      <c r="G18" s="7" t="s">
        <v>12</v>
      </c>
    </row>
    <row r="19" ht="22.5" customHeight="1">
      <c r="A19" s="4">
        <v>46043.0</v>
      </c>
      <c r="B19" s="4"/>
      <c r="C19" s="5" t="s">
        <v>43</v>
      </c>
      <c r="D19" s="6">
        <v>48333.33</v>
      </c>
      <c r="E19" s="5" t="s">
        <v>10</v>
      </c>
      <c r="F19" s="5" t="s">
        <v>44</v>
      </c>
      <c r="G19" s="7" t="s">
        <v>12</v>
      </c>
    </row>
    <row r="20" ht="22.5" customHeight="1">
      <c r="A20" s="4">
        <v>46043.0</v>
      </c>
      <c r="B20" s="4"/>
      <c r="C20" s="5" t="s">
        <v>45</v>
      </c>
      <c r="D20" s="6">
        <v>31900.0</v>
      </c>
      <c r="E20" s="5" t="s">
        <v>10</v>
      </c>
      <c r="F20" s="5" t="s">
        <v>31</v>
      </c>
      <c r="G20" s="7" t="s">
        <v>12</v>
      </c>
    </row>
    <row r="21" ht="22.5" customHeight="1">
      <c r="A21" s="4">
        <v>46043.0</v>
      </c>
      <c r="B21" s="4"/>
      <c r="C21" s="5" t="s">
        <v>46</v>
      </c>
      <c r="D21" s="6">
        <v>26833.17</v>
      </c>
      <c r="E21" s="5" t="s">
        <v>10</v>
      </c>
      <c r="F21" s="5" t="s">
        <v>39</v>
      </c>
      <c r="G21" s="7" t="s">
        <v>12</v>
      </c>
    </row>
    <row r="22" ht="22.5" customHeight="1">
      <c r="A22" s="4">
        <v>46043.0</v>
      </c>
      <c r="B22" s="4"/>
      <c r="C22" s="5" t="s">
        <v>47</v>
      </c>
      <c r="D22" s="6">
        <v>20416.66</v>
      </c>
      <c r="E22" s="5" t="s">
        <v>10</v>
      </c>
      <c r="F22" s="5" t="s">
        <v>39</v>
      </c>
      <c r="G22" s="7" t="s">
        <v>12</v>
      </c>
    </row>
    <row r="23" ht="22.5" customHeight="1">
      <c r="A23" s="4">
        <v>46043.0</v>
      </c>
      <c r="B23" s="4"/>
      <c r="C23" s="5" t="s">
        <v>48</v>
      </c>
      <c r="D23" s="6">
        <v>32999.33</v>
      </c>
      <c r="E23" s="5" t="s">
        <v>10</v>
      </c>
      <c r="F23" s="5" t="s">
        <v>39</v>
      </c>
      <c r="G23" s="7" t="s">
        <v>12</v>
      </c>
    </row>
    <row r="24" ht="22.5" customHeight="1">
      <c r="A24" s="4">
        <v>46043.0</v>
      </c>
      <c r="B24" s="4"/>
      <c r="C24" s="5" t="s">
        <v>49</v>
      </c>
      <c r="D24" s="6">
        <v>9840.0</v>
      </c>
      <c r="E24" s="5" t="s">
        <v>10</v>
      </c>
      <c r="F24" s="5" t="s">
        <v>31</v>
      </c>
      <c r="G24" s="7" t="s">
        <v>12</v>
      </c>
    </row>
    <row r="25" ht="22.5" customHeight="1">
      <c r="A25" s="4">
        <v>46043.0</v>
      </c>
      <c r="B25" s="4"/>
      <c r="C25" s="5" t="s">
        <v>50</v>
      </c>
      <c r="D25" s="6">
        <v>7950.0</v>
      </c>
      <c r="E25" s="5" t="s">
        <v>10</v>
      </c>
      <c r="F25" s="5" t="s">
        <v>31</v>
      </c>
      <c r="G25" s="7" t="s">
        <v>12</v>
      </c>
    </row>
    <row r="26" ht="22.5" customHeight="1">
      <c r="A26" s="4">
        <v>46043.0</v>
      </c>
      <c r="B26" s="4"/>
      <c r="C26" s="5" t="s">
        <v>51</v>
      </c>
      <c r="D26" s="6">
        <v>46002.0</v>
      </c>
      <c r="E26" s="5" t="s">
        <v>10</v>
      </c>
      <c r="F26" s="5" t="s">
        <v>52</v>
      </c>
      <c r="G26" s="7" t="s">
        <v>12</v>
      </c>
    </row>
    <row r="27" ht="22.5" customHeight="1">
      <c r="A27" s="4">
        <v>46043.0</v>
      </c>
      <c r="B27" s="4"/>
      <c r="C27" s="5" t="s">
        <v>53</v>
      </c>
      <c r="D27" s="6">
        <v>79640.87</v>
      </c>
      <c r="E27" s="5" t="s">
        <v>10</v>
      </c>
      <c r="F27" s="5" t="s">
        <v>20</v>
      </c>
      <c r="G27" s="7" t="s">
        <v>12</v>
      </c>
    </row>
    <row r="28" ht="22.5" customHeight="1">
      <c r="A28" s="4">
        <v>46043.0</v>
      </c>
      <c r="B28" s="4"/>
      <c r="C28" s="5" t="s">
        <v>54</v>
      </c>
      <c r="D28" s="6">
        <v>18483.78</v>
      </c>
      <c r="E28" s="5" t="s">
        <v>10</v>
      </c>
      <c r="F28" s="5" t="s">
        <v>20</v>
      </c>
      <c r="G28" s="7" t="s">
        <v>12</v>
      </c>
    </row>
    <row r="29" ht="22.5" customHeight="1">
      <c r="A29" s="4">
        <v>46043.0</v>
      </c>
      <c r="B29" s="4"/>
      <c r="C29" s="5" t="s">
        <v>55</v>
      </c>
      <c r="D29" s="6">
        <v>1600.0</v>
      </c>
      <c r="E29" s="5" t="s">
        <v>10</v>
      </c>
      <c r="F29" s="5" t="s">
        <v>31</v>
      </c>
      <c r="G29" s="7" t="s">
        <v>12</v>
      </c>
    </row>
    <row r="30" ht="22.5" customHeight="1">
      <c r="A30" s="4">
        <v>46043.0</v>
      </c>
      <c r="B30" s="4"/>
      <c r="C30" s="5" t="s">
        <v>56</v>
      </c>
      <c r="D30" s="6">
        <v>5310.6</v>
      </c>
      <c r="E30" s="5" t="s">
        <v>10</v>
      </c>
      <c r="F30" s="5" t="s">
        <v>44</v>
      </c>
      <c r="G30" s="7" t="s">
        <v>12</v>
      </c>
    </row>
    <row r="31" ht="22.5" customHeight="1">
      <c r="A31" s="4">
        <v>46043.0</v>
      </c>
      <c r="B31" s="4"/>
      <c r="C31" s="5" t="s">
        <v>57</v>
      </c>
      <c r="D31" s="6">
        <v>432902.82</v>
      </c>
      <c r="E31" s="5" t="s">
        <v>58</v>
      </c>
      <c r="F31" s="5" t="s">
        <v>59</v>
      </c>
      <c r="G31" s="7" t="s">
        <v>12</v>
      </c>
    </row>
    <row r="32" ht="22.5" customHeight="1">
      <c r="A32" s="4">
        <v>46043.0</v>
      </c>
      <c r="B32" s="4"/>
      <c r="C32" s="5" t="s">
        <v>60</v>
      </c>
      <c r="D32" s="6">
        <v>88058.0</v>
      </c>
      <c r="E32" s="5" t="s">
        <v>34</v>
      </c>
      <c r="F32" s="5" t="s">
        <v>61</v>
      </c>
      <c r="G32" s="7" t="s">
        <v>12</v>
      </c>
    </row>
    <row r="33" ht="22.5" customHeight="1">
      <c r="A33" s="4">
        <v>46043.0</v>
      </c>
      <c r="B33" s="4"/>
      <c r="C33" s="5" t="s">
        <v>62</v>
      </c>
      <c r="D33" s="6">
        <v>6000.0</v>
      </c>
      <c r="E33" s="5" t="s">
        <v>10</v>
      </c>
      <c r="F33" s="5" t="s">
        <v>31</v>
      </c>
      <c r="G33" s="7" t="s">
        <v>12</v>
      </c>
    </row>
    <row r="34" ht="22.5" customHeight="1">
      <c r="A34" s="4">
        <v>46043.0</v>
      </c>
      <c r="B34" s="4"/>
      <c r="C34" s="5" t="s">
        <v>63</v>
      </c>
      <c r="D34" s="6">
        <v>560709.0</v>
      </c>
      <c r="E34" s="5" t="s">
        <v>34</v>
      </c>
      <c r="F34" s="5" t="s">
        <v>61</v>
      </c>
      <c r="G34" s="7" t="s">
        <v>12</v>
      </c>
    </row>
    <row r="35" ht="22.5" customHeight="1">
      <c r="A35" s="4">
        <v>46043.0</v>
      </c>
      <c r="B35" s="4"/>
      <c r="C35" s="5" t="s">
        <v>64</v>
      </c>
      <c r="D35" s="6">
        <v>41464.74</v>
      </c>
      <c r="E35" s="5" t="s">
        <v>65</v>
      </c>
      <c r="F35" s="5" t="s">
        <v>66</v>
      </c>
      <c r="G35" s="7" t="s">
        <v>12</v>
      </c>
    </row>
    <row r="36" ht="22.5" customHeight="1">
      <c r="A36" s="4">
        <v>46043.0</v>
      </c>
      <c r="B36" s="4"/>
      <c r="C36" s="5" t="s">
        <v>67</v>
      </c>
      <c r="D36" s="6">
        <v>9117.69</v>
      </c>
      <c r="E36" s="5" t="s">
        <v>10</v>
      </c>
      <c r="F36" s="5" t="s">
        <v>20</v>
      </c>
      <c r="G36" s="7" t="s">
        <v>12</v>
      </c>
    </row>
    <row r="37" ht="22.5" customHeight="1">
      <c r="A37" s="4">
        <v>46043.0</v>
      </c>
      <c r="B37" s="4"/>
      <c r="C37" s="5" t="s">
        <v>68</v>
      </c>
      <c r="D37" s="6">
        <v>6174.05</v>
      </c>
      <c r="E37" s="5" t="s">
        <v>10</v>
      </c>
      <c r="F37" s="5" t="s">
        <v>69</v>
      </c>
      <c r="G37" s="7" t="s">
        <v>12</v>
      </c>
    </row>
    <row r="38" ht="22.5" customHeight="1">
      <c r="A38" s="4">
        <v>46043.0</v>
      </c>
      <c r="B38" s="4"/>
      <c r="C38" s="5" t="s">
        <v>70</v>
      </c>
      <c r="D38" s="6">
        <v>71344.05</v>
      </c>
      <c r="E38" s="5" t="s">
        <v>65</v>
      </c>
      <c r="F38" s="5" t="s">
        <v>66</v>
      </c>
      <c r="G38" s="7" t="s">
        <v>12</v>
      </c>
    </row>
    <row r="39" ht="22.5" customHeight="1">
      <c r="A39" s="4">
        <v>46043.0</v>
      </c>
      <c r="B39" s="4"/>
      <c r="C39" s="5" t="s">
        <v>71</v>
      </c>
      <c r="D39" s="6">
        <v>21005.69</v>
      </c>
      <c r="E39" s="5" t="s">
        <v>10</v>
      </c>
      <c r="F39" s="5" t="s">
        <v>14</v>
      </c>
      <c r="G39" s="7" t="s">
        <v>12</v>
      </c>
    </row>
    <row r="40" ht="22.5" customHeight="1">
      <c r="A40" s="4">
        <v>46045.0</v>
      </c>
      <c r="B40" s="4"/>
      <c r="C40" s="5" t="s">
        <v>72</v>
      </c>
      <c r="D40" s="6">
        <v>2400.0</v>
      </c>
      <c r="E40" s="5" t="s">
        <v>10</v>
      </c>
      <c r="F40" s="5" t="s">
        <v>69</v>
      </c>
      <c r="G40" s="7" t="s">
        <v>18</v>
      </c>
    </row>
    <row r="41" ht="22.5" customHeight="1">
      <c r="A41" s="4">
        <v>46046.0</v>
      </c>
      <c r="B41" s="4"/>
      <c r="C41" s="5" t="s">
        <v>73</v>
      </c>
      <c r="D41" s="6">
        <v>13200.0</v>
      </c>
      <c r="E41" s="5" t="s">
        <v>10</v>
      </c>
      <c r="F41" s="5" t="s">
        <v>31</v>
      </c>
      <c r="G41" s="7" t="s">
        <v>18</v>
      </c>
    </row>
    <row r="42" ht="22.5" customHeight="1">
      <c r="A42" s="4">
        <v>46048.0</v>
      </c>
      <c r="B42" s="4"/>
      <c r="C42" s="5" t="s">
        <v>74</v>
      </c>
      <c r="D42" s="6">
        <v>47700.0</v>
      </c>
      <c r="E42" s="5" t="s">
        <v>16</v>
      </c>
      <c r="F42" s="5" t="s">
        <v>75</v>
      </c>
      <c r="G42" s="7" t="s">
        <v>18</v>
      </c>
    </row>
    <row r="43" ht="22.5" customHeight="1">
      <c r="A43" s="4">
        <v>46050.0</v>
      </c>
      <c r="B43" s="4"/>
      <c r="C43" s="5" t="s">
        <v>76</v>
      </c>
      <c r="D43" s="6">
        <v>4593.9</v>
      </c>
      <c r="E43" s="5" t="s">
        <v>10</v>
      </c>
      <c r="F43" s="5" t="s">
        <v>77</v>
      </c>
      <c r="G43" s="7" t="s">
        <v>78</v>
      </c>
    </row>
    <row r="44" ht="22.5" customHeight="1">
      <c r="A44" s="4">
        <v>46050.0</v>
      </c>
      <c r="B44" s="4"/>
      <c r="C44" s="5" t="s">
        <v>79</v>
      </c>
      <c r="D44" s="6">
        <v>45851.6</v>
      </c>
      <c r="E44" s="5" t="s">
        <v>10</v>
      </c>
      <c r="F44" s="5" t="s">
        <v>25</v>
      </c>
      <c r="G44" s="7" t="s">
        <v>78</v>
      </c>
    </row>
    <row r="45" ht="22.5" customHeight="1">
      <c r="A45" s="4">
        <v>46050.0</v>
      </c>
      <c r="B45" s="4"/>
      <c r="C45" s="5" t="s">
        <v>80</v>
      </c>
      <c r="D45" s="6">
        <v>35900.48</v>
      </c>
      <c r="E45" s="5" t="s">
        <v>10</v>
      </c>
      <c r="F45" s="5" t="s">
        <v>25</v>
      </c>
      <c r="G45" s="7" t="s">
        <v>78</v>
      </c>
    </row>
    <row r="46" ht="22.5" customHeight="1">
      <c r="A46" s="4">
        <v>46050.0</v>
      </c>
      <c r="B46" s="4"/>
      <c r="C46" s="5" t="s">
        <v>81</v>
      </c>
      <c r="D46" s="6">
        <v>39653.87</v>
      </c>
      <c r="E46" s="5" t="s">
        <v>58</v>
      </c>
      <c r="F46" s="5" t="s">
        <v>59</v>
      </c>
      <c r="G46" s="7" t="s">
        <v>78</v>
      </c>
    </row>
    <row r="47" ht="22.5" customHeight="1">
      <c r="A47" s="4">
        <v>46051.0</v>
      </c>
      <c r="B47" s="4"/>
      <c r="C47" s="5" t="s">
        <v>82</v>
      </c>
      <c r="D47" s="6">
        <v>5000.0</v>
      </c>
      <c r="E47" s="5" t="s">
        <v>10</v>
      </c>
      <c r="F47" s="5" t="s">
        <v>23</v>
      </c>
      <c r="G47" s="7" t="s">
        <v>83</v>
      </c>
    </row>
    <row r="48" ht="22.5" customHeight="1">
      <c r="A48" s="4">
        <v>46055.0</v>
      </c>
      <c r="B48" s="4"/>
      <c r="C48" s="5" t="s">
        <v>84</v>
      </c>
      <c r="D48" s="6">
        <v>18880.99</v>
      </c>
      <c r="E48" s="5" t="s">
        <v>10</v>
      </c>
      <c r="F48" s="5" t="s">
        <v>69</v>
      </c>
      <c r="G48" s="7" t="s">
        <v>12</v>
      </c>
    </row>
    <row r="49" ht="22.5" customHeight="1">
      <c r="A49" s="4">
        <v>46055.0</v>
      </c>
      <c r="B49" s="4"/>
      <c r="C49" s="5" t="s">
        <v>85</v>
      </c>
      <c r="D49" s="6">
        <v>10012.694</v>
      </c>
      <c r="E49" s="5" t="s">
        <v>10</v>
      </c>
      <c r="F49" s="5" t="s">
        <v>86</v>
      </c>
      <c r="G49" s="7" t="s">
        <v>12</v>
      </c>
    </row>
    <row r="50" ht="22.5" customHeight="1">
      <c r="A50" s="4">
        <v>46055.0</v>
      </c>
      <c r="B50" s="4"/>
      <c r="C50" s="5" t="s">
        <v>87</v>
      </c>
      <c r="D50" s="6">
        <v>11839.95</v>
      </c>
      <c r="E50" s="5" t="s">
        <v>10</v>
      </c>
      <c r="F50" s="5" t="s">
        <v>86</v>
      </c>
      <c r="G50" s="7" t="s">
        <v>12</v>
      </c>
    </row>
    <row r="51" ht="22.5" customHeight="1">
      <c r="A51" s="4">
        <v>46055.0</v>
      </c>
      <c r="B51" s="4"/>
      <c r="C51" s="5" t="s">
        <v>13</v>
      </c>
      <c r="D51" s="6">
        <v>404.81</v>
      </c>
      <c r="E51" s="5" t="s">
        <v>10</v>
      </c>
      <c r="F51" s="5" t="s">
        <v>14</v>
      </c>
      <c r="G51" s="7" t="s">
        <v>12</v>
      </c>
    </row>
    <row r="52" ht="22.5" customHeight="1">
      <c r="A52" s="4">
        <v>46056.0</v>
      </c>
      <c r="B52" s="4"/>
      <c r="C52" s="5" t="s">
        <v>88</v>
      </c>
      <c r="D52" s="6">
        <v>180192.06</v>
      </c>
      <c r="E52" s="5" t="s">
        <v>34</v>
      </c>
      <c r="F52" s="5" t="s">
        <v>61</v>
      </c>
      <c r="G52" s="9"/>
    </row>
    <row r="53" ht="22.5" customHeight="1">
      <c r="A53" s="4">
        <v>46056.0</v>
      </c>
      <c r="B53" s="4"/>
      <c r="C53" s="5" t="s">
        <v>89</v>
      </c>
      <c r="D53" s="6">
        <v>86610.72</v>
      </c>
      <c r="E53" s="5" t="s">
        <v>34</v>
      </c>
      <c r="F53" s="5" t="s">
        <v>90</v>
      </c>
      <c r="G53" s="9"/>
    </row>
    <row r="54" ht="22.5" customHeight="1">
      <c r="A54" s="4">
        <v>46059.0</v>
      </c>
      <c r="B54" s="4"/>
      <c r="C54" s="5" t="s">
        <v>91</v>
      </c>
      <c r="D54" s="6">
        <v>57785.93</v>
      </c>
      <c r="E54" s="5" t="s">
        <v>65</v>
      </c>
      <c r="F54" s="8" t="s">
        <v>92</v>
      </c>
      <c r="G54" s="7" t="s">
        <v>12</v>
      </c>
    </row>
    <row r="55" ht="22.5" customHeight="1">
      <c r="A55" s="4">
        <v>46059.0</v>
      </c>
      <c r="B55" s="4"/>
      <c r="C55" s="5" t="s">
        <v>93</v>
      </c>
      <c r="D55" s="6">
        <v>14391.0</v>
      </c>
      <c r="E55" s="5" t="s">
        <v>65</v>
      </c>
      <c r="F55" s="5" t="s">
        <v>66</v>
      </c>
      <c r="G55" s="7" t="s">
        <v>12</v>
      </c>
    </row>
    <row r="56" ht="22.5" customHeight="1">
      <c r="A56" s="4">
        <v>46059.0</v>
      </c>
      <c r="B56" s="4"/>
      <c r="C56" s="5" t="s">
        <v>94</v>
      </c>
      <c r="D56" s="6">
        <v>9417.0</v>
      </c>
      <c r="E56" s="5" t="s">
        <v>10</v>
      </c>
      <c r="F56" s="5" t="s">
        <v>20</v>
      </c>
      <c r="G56" s="7" t="s">
        <v>12</v>
      </c>
    </row>
    <row r="57" ht="22.5" customHeight="1">
      <c r="A57" s="4">
        <v>46059.0</v>
      </c>
      <c r="B57" s="4"/>
      <c r="C57" s="5" t="s">
        <v>95</v>
      </c>
      <c r="D57" s="6">
        <v>0.0</v>
      </c>
      <c r="E57" s="5" t="s">
        <v>10</v>
      </c>
      <c r="F57" s="5" t="s">
        <v>14</v>
      </c>
      <c r="G57" s="7" t="s">
        <v>12</v>
      </c>
    </row>
    <row r="58" ht="22.5" customHeight="1">
      <c r="A58" s="4">
        <v>46062.0</v>
      </c>
      <c r="B58" s="4"/>
      <c r="C58" s="5" t="s">
        <v>24</v>
      </c>
      <c r="D58" s="6">
        <v>83333.45</v>
      </c>
      <c r="E58" s="5" t="s">
        <v>10</v>
      </c>
      <c r="F58" s="5" t="s">
        <v>25</v>
      </c>
      <c r="G58" s="7" t="s">
        <v>26</v>
      </c>
    </row>
    <row r="59" ht="22.5" customHeight="1">
      <c r="A59" s="4">
        <v>46064.0</v>
      </c>
      <c r="B59" s="4"/>
      <c r="C59" s="5" t="s">
        <v>21</v>
      </c>
      <c r="D59" s="6">
        <v>80000.0</v>
      </c>
      <c r="E59" s="5" t="s">
        <v>10</v>
      </c>
      <c r="F59" s="5" t="s">
        <v>11</v>
      </c>
      <c r="G59" s="7" t="s">
        <v>18</v>
      </c>
    </row>
    <row r="60" ht="22.5" customHeight="1">
      <c r="A60" s="4">
        <v>46065.0</v>
      </c>
      <c r="B60" s="4"/>
      <c r="C60" s="5" t="s">
        <v>96</v>
      </c>
      <c r="D60" s="6">
        <v>20000.0</v>
      </c>
      <c r="E60" s="5" t="s">
        <v>10</v>
      </c>
      <c r="F60" s="5" t="s">
        <v>31</v>
      </c>
      <c r="G60" s="7" t="s">
        <v>18</v>
      </c>
    </row>
    <row r="61" ht="22.5" customHeight="1">
      <c r="A61" s="4">
        <v>46067.0</v>
      </c>
      <c r="B61" s="4"/>
      <c r="C61" s="5" t="s">
        <v>97</v>
      </c>
      <c r="D61" s="6">
        <v>593.7</v>
      </c>
      <c r="E61" s="5" t="s">
        <v>10</v>
      </c>
      <c r="F61" s="5" t="s">
        <v>31</v>
      </c>
      <c r="G61" s="7" t="s">
        <v>18</v>
      </c>
    </row>
    <row r="62" ht="22.5" customHeight="1">
      <c r="A62" s="4">
        <v>46068.0</v>
      </c>
      <c r="B62" s="4"/>
      <c r="C62" s="5" t="s">
        <v>98</v>
      </c>
      <c r="D62" s="6">
        <v>134800.0</v>
      </c>
      <c r="E62" s="5" t="s">
        <v>10</v>
      </c>
      <c r="F62" s="5" t="s">
        <v>31</v>
      </c>
      <c r="G62" s="7" t="s">
        <v>18</v>
      </c>
    </row>
    <row r="63" ht="22.5" customHeight="1">
      <c r="A63" s="4">
        <v>46069.0</v>
      </c>
      <c r="B63" s="4"/>
      <c r="C63" s="5" t="s">
        <v>99</v>
      </c>
      <c r="D63" s="6">
        <v>215000.0</v>
      </c>
      <c r="E63" s="5" t="s">
        <v>10</v>
      </c>
      <c r="F63" s="5" t="s">
        <v>31</v>
      </c>
      <c r="G63" s="7" t="s">
        <v>18</v>
      </c>
    </row>
    <row r="64" ht="22.5" customHeight="1">
      <c r="A64" s="4">
        <v>46069.0</v>
      </c>
      <c r="B64" s="4"/>
      <c r="C64" s="5" t="s">
        <v>100</v>
      </c>
      <c r="D64" s="6">
        <v>3200.0</v>
      </c>
      <c r="E64" s="5" t="s">
        <v>10</v>
      </c>
      <c r="F64" s="5" t="s">
        <v>31</v>
      </c>
      <c r="G64" s="7" t="s">
        <v>18</v>
      </c>
    </row>
    <row r="65" ht="22.5" customHeight="1">
      <c r="A65" s="4">
        <v>46025.0</v>
      </c>
      <c r="B65" s="4"/>
      <c r="C65" s="5" t="s">
        <v>101</v>
      </c>
      <c r="D65" s="6">
        <v>28140.0</v>
      </c>
      <c r="E65" s="5" t="s">
        <v>16</v>
      </c>
      <c r="F65" s="5" t="s">
        <v>17</v>
      </c>
      <c r="G65" s="7" t="s">
        <v>18</v>
      </c>
    </row>
    <row r="66" ht="22.5" customHeight="1">
      <c r="A66" s="4">
        <v>46070.0</v>
      </c>
      <c r="B66" s="4"/>
      <c r="C66" s="5" t="s">
        <v>102</v>
      </c>
      <c r="D66" s="6">
        <v>105000.0</v>
      </c>
      <c r="E66" s="5" t="s">
        <v>10</v>
      </c>
      <c r="F66" s="5" t="s">
        <v>31</v>
      </c>
      <c r="G66" s="7" t="s">
        <v>83</v>
      </c>
    </row>
    <row r="67" ht="22.5" customHeight="1">
      <c r="A67" s="4">
        <v>46070.0</v>
      </c>
      <c r="B67" s="4"/>
      <c r="C67" s="5" t="s">
        <v>103</v>
      </c>
      <c r="D67" s="6">
        <v>27500.0</v>
      </c>
      <c r="E67" s="5" t="s">
        <v>10</v>
      </c>
      <c r="F67" s="5" t="s">
        <v>31</v>
      </c>
      <c r="G67" s="7" t="s">
        <v>18</v>
      </c>
    </row>
    <row r="68" ht="22.5" customHeight="1">
      <c r="A68" s="4">
        <v>46070.0</v>
      </c>
      <c r="B68" s="4"/>
      <c r="C68" s="5" t="s">
        <v>104</v>
      </c>
      <c r="D68" s="6">
        <v>33000.0</v>
      </c>
      <c r="E68" s="5" t="s">
        <v>10</v>
      </c>
      <c r="F68" s="5" t="s">
        <v>31</v>
      </c>
      <c r="G68" s="7" t="s">
        <v>18</v>
      </c>
    </row>
    <row r="69" ht="22.5" customHeight="1">
      <c r="A69" s="4">
        <v>46071.0</v>
      </c>
      <c r="B69" s="4"/>
      <c r="C69" s="5" t="s">
        <v>105</v>
      </c>
      <c r="D69" s="6">
        <v>11947.52</v>
      </c>
      <c r="E69" s="5" t="s">
        <v>34</v>
      </c>
      <c r="F69" s="5" t="s">
        <v>35</v>
      </c>
      <c r="G69" s="7" t="s">
        <v>12</v>
      </c>
    </row>
    <row r="70" ht="22.5" customHeight="1">
      <c r="A70" s="4">
        <v>46071.0</v>
      </c>
      <c r="B70" s="4"/>
      <c r="C70" s="5" t="s">
        <v>36</v>
      </c>
      <c r="D70" s="6">
        <v>31195.52</v>
      </c>
      <c r="E70" s="5" t="s">
        <v>34</v>
      </c>
      <c r="F70" s="5" t="s">
        <v>35</v>
      </c>
      <c r="G70" s="7" t="s">
        <v>12</v>
      </c>
    </row>
    <row r="71" ht="22.5" customHeight="1">
      <c r="A71" s="4">
        <v>46071.0</v>
      </c>
      <c r="B71" s="4"/>
      <c r="C71" s="5" t="s">
        <v>37</v>
      </c>
      <c r="D71" s="6">
        <v>1207.5</v>
      </c>
      <c r="E71" s="5" t="s">
        <v>10</v>
      </c>
      <c r="F71" s="5" t="s">
        <v>11</v>
      </c>
      <c r="G71" s="7" t="s">
        <v>12</v>
      </c>
    </row>
    <row r="72" ht="22.5" customHeight="1">
      <c r="A72" s="4">
        <v>46071.0</v>
      </c>
      <c r="B72" s="4"/>
      <c r="C72" s="5" t="s">
        <v>106</v>
      </c>
      <c r="D72" s="6">
        <v>19888.77</v>
      </c>
      <c r="E72" s="5" t="s">
        <v>10</v>
      </c>
      <c r="F72" s="5" t="s">
        <v>39</v>
      </c>
      <c r="G72" s="7" t="s">
        <v>12</v>
      </c>
    </row>
    <row r="73" ht="22.5" customHeight="1">
      <c r="A73" s="4">
        <v>46071.0</v>
      </c>
      <c r="B73" s="4"/>
      <c r="C73" s="5" t="s">
        <v>107</v>
      </c>
      <c r="D73" s="6">
        <v>2449.81</v>
      </c>
      <c r="E73" s="5" t="s">
        <v>10</v>
      </c>
      <c r="F73" s="5" t="s">
        <v>11</v>
      </c>
      <c r="G73" s="7" t="s">
        <v>12</v>
      </c>
    </row>
    <row r="74" ht="22.5" customHeight="1">
      <c r="A74" s="4">
        <v>46071.0</v>
      </c>
      <c r="B74" s="4"/>
      <c r="C74" s="5" t="s">
        <v>108</v>
      </c>
      <c r="D74" s="6">
        <v>8215.25</v>
      </c>
      <c r="E74" s="5" t="s">
        <v>10</v>
      </c>
      <c r="F74" s="5" t="s">
        <v>39</v>
      </c>
      <c r="G74" s="7" t="s">
        <v>12</v>
      </c>
    </row>
    <row r="75" ht="22.5" customHeight="1">
      <c r="A75" s="4">
        <v>46071.0</v>
      </c>
      <c r="B75" s="4"/>
      <c r="C75" s="5" t="s">
        <v>109</v>
      </c>
      <c r="D75" s="6">
        <v>4478.41</v>
      </c>
      <c r="E75" s="5" t="s">
        <v>10</v>
      </c>
      <c r="F75" s="5" t="s">
        <v>11</v>
      </c>
      <c r="G75" s="7" t="s">
        <v>12</v>
      </c>
    </row>
    <row r="76" ht="22.5" customHeight="1">
      <c r="A76" s="4">
        <v>46071.0</v>
      </c>
      <c r="B76" s="4"/>
      <c r="C76" s="5" t="s">
        <v>110</v>
      </c>
      <c r="D76" s="6">
        <v>31900.0</v>
      </c>
      <c r="E76" s="5" t="s">
        <v>10</v>
      </c>
      <c r="F76" s="5" t="s">
        <v>31</v>
      </c>
      <c r="G76" s="7" t="s">
        <v>12</v>
      </c>
    </row>
    <row r="77" ht="22.5" customHeight="1">
      <c r="A77" s="4">
        <v>46071.0</v>
      </c>
      <c r="B77" s="4"/>
      <c r="C77" s="5" t="s">
        <v>111</v>
      </c>
      <c r="D77" s="6">
        <v>26833.17</v>
      </c>
      <c r="E77" s="5" t="s">
        <v>10</v>
      </c>
      <c r="F77" s="5" t="s">
        <v>39</v>
      </c>
      <c r="G77" s="7" t="s">
        <v>12</v>
      </c>
    </row>
    <row r="78" ht="22.5" customHeight="1">
      <c r="A78" s="4">
        <v>46071.0</v>
      </c>
      <c r="B78" s="4"/>
      <c r="C78" s="5" t="s">
        <v>112</v>
      </c>
      <c r="D78" s="6">
        <v>20416.66</v>
      </c>
      <c r="E78" s="5" t="s">
        <v>10</v>
      </c>
      <c r="F78" s="5" t="s">
        <v>39</v>
      </c>
      <c r="G78" s="7" t="s">
        <v>12</v>
      </c>
    </row>
    <row r="79" ht="22.5" customHeight="1">
      <c r="A79" s="4">
        <v>46071.0</v>
      </c>
      <c r="B79" s="4"/>
      <c r="C79" s="5" t="s">
        <v>113</v>
      </c>
      <c r="D79" s="6">
        <v>32999.33</v>
      </c>
      <c r="E79" s="5" t="s">
        <v>10</v>
      </c>
      <c r="F79" s="5" t="s">
        <v>39</v>
      </c>
      <c r="G79" s="7" t="s">
        <v>12</v>
      </c>
    </row>
    <row r="80" ht="22.5" customHeight="1">
      <c r="A80" s="4">
        <v>46071.0</v>
      </c>
      <c r="B80" s="4"/>
      <c r="C80" s="5" t="s">
        <v>114</v>
      </c>
      <c r="D80" s="6">
        <v>9840.0</v>
      </c>
      <c r="E80" s="5" t="s">
        <v>10</v>
      </c>
      <c r="F80" s="5" t="s">
        <v>31</v>
      </c>
      <c r="G80" s="7" t="s">
        <v>12</v>
      </c>
    </row>
    <row r="81" ht="22.5" customHeight="1">
      <c r="A81" s="4">
        <v>46071.0</v>
      </c>
      <c r="B81" s="4"/>
      <c r="C81" s="5" t="s">
        <v>115</v>
      </c>
      <c r="D81" s="6">
        <v>7950.0</v>
      </c>
      <c r="E81" s="5" t="s">
        <v>10</v>
      </c>
      <c r="F81" s="5" t="s">
        <v>31</v>
      </c>
      <c r="G81" s="7" t="s">
        <v>12</v>
      </c>
    </row>
    <row r="82" ht="22.5" customHeight="1">
      <c r="A82" s="4">
        <v>46071.0</v>
      </c>
      <c r="B82" s="4"/>
      <c r="C82" s="5" t="s">
        <v>116</v>
      </c>
      <c r="D82" s="6">
        <v>12000.0</v>
      </c>
      <c r="E82" s="5" t="s">
        <v>10</v>
      </c>
      <c r="F82" s="5" t="s">
        <v>31</v>
      </c>
      <c r="G82" s="7" t="s">
        <v>12</v>
      </c>
    </row>
    <row r="83" ht="22.5" customHeight="1">
      <c r="A83" s="4">
        <v>46071.0</v>
      </c>
      <c r="B83" s="4"/>
      <c r="C83" s="5" t="s">
        <v>117</v>
      </c>
      <c r="D83" s="6">
        <v>265870.25</v>
      </c>
      <c r="E83" s="5" t="s">
        <v>34</v>
      </c>
      <c r="F83" s="5" t="s">
        <v>118</v>
      </c>
      <c r="G83" s="7" t="s">
        <v>12</v>
      </c>
    </row>
    <row r="84" ht="22.5" customHeight="1">
      <c r="A84" s="4">
        <v>46071.0</v>
      </c>
      <c r="B84" s="4"/>
      <c r="C84" s="5" t="s">
        <v>119</v>
      </c>
      <c r="D84" s="6">
        <v>9350.88</v>
      </c>
      <c r="E84" s="5" t="s">
        <v>10</v>
      </c>
      <c r="F84" s="5" t="s">
        <v>120</v>
      </c>
      <c r="G84" s="7" t="s">
        <v>12</v>
      </c>
    </row>
    <row r="85" ht="22.5" customHeight="1">
      <c r="A85" s="4">
        <v>46071.0</v>
      </c>
      <c r="B85" s="4"/>
      <c r="C85" s="5" t="s">
        <v>121</v>
      </c>
      <c r="D85" s="6">
        <v>3220.89</v>
      </c>
      <c r="E85" s="5" t="s">
        <v>10</v>
      </c>
      <c r="F85" s="5" t="s">
        <v>122</v>
      </c>
      <c r="G85" s="7" t="s">
        <v>12</v>
      </c>
    </row>
    <row r="86" ht="22.5" customHeight="1">
      <c r="A86" s="4">
        <v>46071.0</v>
      </c>
      <c r="B86" s="4"/>
      <c r="C86" s="5" t="s">
        <v>123</v>
      </c>
      <c r="D86" s="6">
        <v>33717.0</v>
      </c>
      <c r="E86" s="5" t="s">
        <v>10</v>
      </c>
      <c r="F86" s="5" t="s">
        <v>120</v>
      </c>
      <c r="G86" s="7" t="s">
        <v>12</v>
      </c>
    </row>
    <row r="87" ht="22.5" customHeight="1">
      <c r="A87" s="4">
        <v>46071.0</v>
      </c>
      <c r="B87" s="4"/>
      <c r="C87" s="5" t="s">
        <v>124</v>
      </c>
      <c r="D87" s="6">
        <v>37258.0</v>
      </c>
      <c r="E87" s="5" t="s">
        <v>10</v>
      </c>
      <c r="F87" s="5" t="s">
        <v>125</v>
      </c>
      <c r="G87" s="7" t="s">
        <v>12</v>
      </c>
    </row>
    <row r="88" ht="22.5" customHeight="1">
      <c r="A88" s="4">
        <v>46071.0</v>
      </c>
      <c r="B88" s="4"/>
      <c r="C88" s="5" t="s">
        <v>126</v>
      </c>
      <c r="D88" s="6">
        <v>33837.0</v>
      </c>
      <c r="E88" s="5" t="s">
        <v>10</v>
      </c>
      <c r="F88" s="5" t="s">
        <v>125</v>
      </c>
      <c r="G88" s="7" t="s">
        <v>12</v>
      </c>
    </row>
    <row r="89" ht="22.5" customHeight="1">
      <c r="A89" s="4">
        <v>46071.0</v>
      </c>
      <c r="B89" s="4"/>
      <c r="C89" s="5" t="s">
        <v>127</v>
      </c>
      <c r="D89" s="6">
        <v>4350.0</v>
      </c>
      <c r="E89" s="5" t="s">
        <v>10</v>
      </c>
      <c r="F89" s="8" t="s">
        <v>128</v>
      </c>
      <c r="G89" s="7" t="s">
        <v>12</v>
      </c>
    </row>
    <row r="90" ht="22.5" customHeight="1">
      <c r="A90" s="4">
        <v>46071.0</v>
      </c>
      <c r="B90" s="4"/>
      <c r="C90" s="5" t="s">
        <v>129</v>
      </c>
      <c r="D90" s="6">
        <v>13065.0</v>
      </c>
      <c r="E90" s="5" t="s">
        <v>10</v>
      </c>
      <c r="F90" s="8" t="s">
        <v>128</v>
      </c>
      <c r="G90" s="7" t="s">
        <v>12</v>
      </c>
    </row>
    <row r="91" ht="22.5" customHeight="1">
      <c r="A91" s="4">
        <v>46071.0</v>
      </c>
      <c r="B91" s="4"/>
      <c r="C91" s="5" t="s">
        <v>57</v>
      </c>
      <c r="D91" s="6">
        <v>436683.63</v>
      </c>
      <c r="E91" s="5" t="s">
        <v>58</v>
      </c>
      <c r="F91" s="5" t="s">
        <v>59</v>
      </c>
      <c r="G91" s="7" t="s">
        <v>12</v>
      </c>
    </row>
    <row r="92" ht="22.5" customHeight="1">
      <c r="A92" s="4">
        <v>46071.0</v>
      </c>
      <c r="B92" s="4"/>
      <c r="C92" s="5" t="s">
        <v>51</v>
      </c>
      <c r="D92" s="6">
        <v>42000.0</v>
      </c>
      <c r="E92" s="5" t="s">
        <v>10</v>
      </c>
      <c r="F92" s="5" t="s">
        <v>52</v>
      </c>
      <c r="G92" s="7" t="s">
        <v>12</v>
      </c>
    </row>
    <row r="93" ht="22.5" customHeight="1">
      <c r="A93" s="4">
        <v>46071.0</v>
      </c>
      <c r="B93" s="4"/>
      <c r="C93" s="5" t="s">
        <v>55</v>
      </c>
      <c r="D93" s="6">
        <v>890.0</v>
      </c>
      <c r="E93" s="5" t="s">
        <v>10</v>
      </c>
      <c r="F93" s="5" t="s">
        <v>31</v>
      </c>
      <c r="G93" s="7" t="s">
        <v>12</v>
      </c>
    </row>
    <row r="94" ht="22.5" customHeight="1">
      <c r="A94" s="4">
        <v>46071.0</v>
      </c>
      <c r="B94" s="4"/>
      <c r="C94" s="5" t="s">
        <v>130</v>
      </c>
      <c r="D94" s="6">
        <v>18500.0</v>
      </c>
      <c r="E94" s="5" t="s">
        <v>10</v>
      </c>
      <c r="F94" s="5" t="s">
        <v>31</v>
      </c>
      <c r="G94" s="7" t="s">
        <v>12</v>
      </c>
    </row>
    <row r="95" ht="22.5" customHeight="1">
      <c r="A95" s="4">
        <v>46071.0</v>
      </c>
      <c r="B95" s="4"/>
      <c r="C95" s="5" t="s">
        <v>71</v>
      </c>
      <c r="D95" s="6">
        <v>22269.73</v>
      </c>
      <c r="E95" s="5" t="s">
        <v>10</v>
      </c>
      <c r="F95" s="5" t="s">
        <v>14</v>
      </c>
      <c r="G95" s="7" t="s">
        <v>12</v>
      </c>
    </row>
    <row r="96" ht="22.5" customHeight="1">
      <c r="A96" s="4">
        <v>46072.0</v>
      </c>
      <c r="B96" s="4"/>
      <c r="C96" s="5" t="s">
        <v>131</v>
      </c>
      <c r="D96" s="6">
        <v>24000.0</v>
      </c>
      <c r="E96" s="5" t="s">
        <v>10</v>
      </c>
      <c r="F96" s="5" t="s">
        <v>31</v>
      </c>
      <c r="G96" s="7" t="s">
        <v>18</v>
      </c>
    </row>
    <row r="97" ht="22.5" customHeight="1">
      <c r="A97" s="4">
        <v>46072.0</v>
      </c>
      <c r="B97" s="4"/>
      <c r="C97" s="5" t="s">
        <v>132</v>
      </c>
      <c r="D97" s="6">
        <v>2400.0</v>
      </c>
      <c r="E97" s="5" t="s">
        <v>10</v>
      </c>
      <c r="F97" s="5" t="s">
        <v>31</v>
      </c>
      <c r="G97" s="7" t="s">
        <v>18</v>
      </c>
    </row>
    <row r="98" ht="22.5" customHeight="1">
      <c r="A98" s="4">
        <v>46073.0</v>
      </c>
      <c r="B98" s="4"/>
      <c r="C98" s="5" t="s">
        <v>133</v>
      </c>
      <c r="D98" s="6">
        <v>44000.0</v>
      </c>
      <c r="E98" s="5" t="s">
        <v>10</v>
      </c>
      <c r="F98" s="5" t="s">
        <v>31</v>
      </c>
      <c r="G98" s="7" t="s">
        <v>83</v>
      </c>
    </row>
    <row r="99" ht="22.5" customHeight="1">
      <c r="A99" s="4">
        <v>46074.0</v>
      </c>
      <c r="B99" s="4"/>
      <c r="C99" s="5" t="s">
        <v>134</v>
      </c>
      <c r="D99" s="6">
        <v>5000.0</v>
      </c>
      <c r="E99" s="5" t="s">
        <v>10</v>
      </c>
      <c r="F99" s="5" t="s">
        <v>31</v>
      </c>
      <c r="G99" s="7" t="s">
        <v>83</v>
      </c>
    </row>
    <row r="100" ht="22.5" customHeight="1">
      <c r="A100" s="4">
        <v>46075.0</v>
      </c>
      <c r="B100" s="4"/>
      <c r="C100" s="5" t="s">
        <v>135</v>
      </c>
      <c r="D100" s="6">
        <v>8404.0</v>
      </c>
      <c r="E100" s="5" t="s">
        <v>10</v>
      </c>
      <c r="F100" s="5" t="s">
        <v>31</v>
      </c>
      <c r="G100" s="7" t="s">
        <v>18</v>
      </c>
    </row>
    <row r="101" ht="22.5" customHeight="1">
      <c r="A101" s="4">
        <v>46075.0</v>
      </c>
      <c r="B101" s="4"/>
      <c r="C101" s="5" t="s">
        <v>136</v>
      </c>
      <c r="D101" s="6">
        <v>835.71</v>
      </c>
      <c r="E101" s="5" t="s">
        <v>10</v>
      </c>
      <c r="F101" s="5" t="s">
        <v>31</v>
      </c>
      <c r="G101" s="7" t="s">
        <v>18</v>
      </c>
    </row>
    <row r="102" ht="22.5" customHeight="1">
      <c r="A102" s="4">
        <v>46075.0</v>
      </c>
      <c r="B102" s="4"/>
      <c r="C102" s="5" t="s">
        <v>137</v>
      </c>
      <c r="D102" s="6">
        <v>593.7</v>
      </c>
      <c r="E102" s="5" t="s">
        <v>10</v>
      </c>
      <c r="F102" s="5" t="s">
        <v>31</v>
      </c>
      <c r="G102" s="7" t="s">
        <v>18</v>
      </c>
    </row>
    <row r="103" ht="22.5" customHeight="1">
      <c r="A103" s="4">
        <v>46076.0</v>
      </c>
      <c r="B103" s="4"/>
      <c r="C103" s="5" t="s">
        <v>82</v>
      </c>
      <c r="D103" s="6">
        <v>4500.0</v>
      </c>
      <c r="E103" s="5" t="s">
        <v>10</v>
      </c>
      <c r="F103" s="5" t="s">
        <v>23</v>
      </c>
      <c r="G103" s="7" t="s">
        <v>83</v>
      </c>
    </row>
    <row r="104" ht="22.5" customHeight="1">
      <c r="A104" s="4">
        <v>46079.0</v>
      </c>
      <c r="B104" s="4"/>
      <c r="C104" s="5" t="s">
        <v>82</v>
      </c>
      <c r="D104" s="6">
        <v>4500.0</v>
      </c>
      <c r="E104" s="5" t="s">
        <v>10</v>
      </c>
      <c r="F104" s="5" t="s">
        <v>23</v>
      </c>
      <c r="G104" s="7" t="s">
        <v>83</v>
      </c>
    </row>
    <row r="105" ht="22.5" customHeight="1">
      <c r="A105" s="4">
        <v>46079.0</v>
      </c>
      <c r="B105" s="4"/>
      <c r="C105" s="5" t="s">
        <v>138</v>
      </c>
      <c r="D105" s="6">
        <v>4000.0</v>
      </c>
      <c r="E105" s="5" t="s">
        <v>10</v>
      </c>
      <c r="F105" s="5" t="s">
        <v>139</v>
      </c>
      <c r="G105" s="7" t="s">
        <v>83</v>
      </c>
    </row>
    <row r="106" ht="22.5" customHeight="1">
      <c r="A106" s="4">
        <v>46079.0</v>
      </c>
      <c r="B106" s="4"/>
      <c r="C106" s="5" t="s">
        <v>76</v>
      </c>
      <c r="D106" s="6">
        <v>4582.49</v>
      </c>
      <c r="E106" s="5" t="s">
        <v>10</v>
      </c>
      <c r="F106" s="5" t="s">
        <v>77</v>
      </c>
      <c r="G106" s="7" t="s">
        <v>78</v>
      </c>
    </row>
    <row r="107" ht="22.5" customHeight="1">
      <c r="A107" s="4">
        <v>46079.0</v>
      </c>
      <c r="B107" s="4"/>
      <c r="C107" s="5" t="s">
        <v>79</v>
      </c>
      <c r="D107" s="6">
        <v>45851.6</v>
      </c>
      <c r="E107" s="5" t="s">
        <v>10</v>
      </c>
      <c r="F107" s="5" t="s">
        <v>25</v>
      </c>
      <c r="G107" s="7" t="s">
        <v>78</v>
      </c>
    </row>
    <row r="108" ht="22.5" customHeight="1">
      <c r="A108" s="4">
        <v>46079.0</v>
      </c>
      <c r="B108" s="4"/>
      <c r="C108" s="5" t="s">
        <v>81</v>
      </c>
      <c r="D108" s="6">
        <v>37094.75</v>
      </c>
      <c r="E108" s="5" t="s">
        <v>58</v>
      </c>
      <c r="F108" s="5" t="s">
        <v>59</v>
      </c>
      <c r="G108" s="7" t="s">
        <v>78</v>
      </c>
    </row>
    <row r="109" ht="22.5" customHeight="1">
      <c r="A109" s="4">
        <v>46084.0</v>
      </c>
      <c r="B109" s="4"/>
      <c r="C109" s="5" t="s">
        <v>140</v>
      </c>
      <c r="D109" s="6">
        <v>167000.0</v>
      </c>
      <c r="E109" s="5" t="s">
        <v>10</v>
      </c>
      <c r="F109" s="5" t="s">
        <v>20</v>
      </c>
      <c r="G109" s="7" t="s">
        <v>29</v>
      </c>
    </row>
    <row r="110" ht="22.5" customHeight="1">
      <c r="A110" s="4">
        <v>46085.0</v>
      </c>
      <c r="B110" s="4"/>
      <c r="C110" s="5" t="s">
        <v>141</v>
      </c>
      <c r="D110" s="6">
        <v>11881.0</v>
      </c>
      <c r="E110" s="5" t="s">
        <v>10</v>
      </c>
      <c r="F110" s="5" t="s">
        <v>69</v>
      </c>
      <c r="G110" s="7" t="s">
        <v>12</v>
      </c>
    </row>
    <row r="111" ht="22.5" customHeight="1">
      <c r="A111" s="4">
        <v>46085.0</v>
      </c>
      <c r="B111" s="4"/>
      <c r="C111" s="5" t="s">
        <v>142</v>
      </c>
      <c r="D111" s="6">
        <v>2797.54</v>
      </c>
      <c r="E111" s="5" t="s">
        <v>10</v>
      </c>
      <c r="F111" s="5" t="s">
        <v>31</v>
      </c>
      <c r="G111" s="7" t="s">
        <v>12</v>
      </c>
    </row>
    <row r="112" ht="22.5" customHeight="1">
      <c r="A112" s="4">
        <v>46085.0</v>
      </c>
      <c r="B112" s="4"/>
      <c r="C112" s="5" t="s">
        <v>143</v>
      </c>
      <c r="D112" s="6">
        <v>1176.68</v>
      </c>
      <c r="E112" s="5" t="s">
        <v>10</v>
      </c>
      <c r="F112" s="5" t="s">
        <v>31</v>
      </c>
      <c r="G112" s="7" t="s">
        <v>12</v>
      </c>
    </row>
    <row r="113" ht="22.5" customHeight="1">
      <c r="A113" s="4">
        <v>46085.0</v>
      </c>
      <c r="B113" s="4"/>
      <c r="C113" s="5" t="s">
        <v>144</v>
      </c>
      <c r="D113" s="6">
        <v>7273.8</v>
      </c>
      <c r="E113" s="5" t="s">
        <v>10</v>
      </c>
      <c r="F113" s="5" t="s">
        <v>11</v>
      </c>
      <c r="G113" s="7" t="s">
        <v>12</v>
      </c>
    </row>
    <row r="114" ht="22.5" customHeight="1">
      <c r="A114" s="4">
        <v>46085.0</v>
      </c>
      <c r="B114" s="4"/>
      <c r="C114" s="5" t="s">
        <v>145</v>
      </c>
      <c r="D114" s="6">
        <v>2146.59</v>
      </c>
      <c r="E114" s="5" t="s">
        <v>10</v>
      </c>
      <c r="F114" s="5" t="s">
        <v>11</v>
      </c>
      <c r="G114" s="7" t="s">
        <v>12</v>
      </c>
    </row>
    <row r="115" ht="22.5" customHeight="1">
      <c r="A115" s="4">
        <v>46085.0</v>
      </c>
      <c r="B115" s="4"/>
      <c r="C115" s="5" t="s">
        <v>146</v>
      </c>
      <c r="D115" s="6">
        <v>3951.91</v>
      </c>
      <c r="E115" s="5" t="s">
        <v>10</v>
      </c>
      <c r="F115" s="5" t="s">
        <v>31</v>
      </c>
      <c r="G115" s="7" t="s">
        <v>12</v>
      </c>
    </row>
    <row r="116" ht="22.5" customHeight="1">
      <c r="A116" s="4">
        <v>46085.0</v>
      </c>
      <c r="B116" s="4"/>
      <c r="C116" s="5" t="s">
        <v>147</v>
      </c>
      <c r="D116" s="6">
        <v>1827.59</v>
      </c>
      <c r="E116" s="5" t="s">
        <v>10</v>
      </c>
      <c r="F116" s="5" t="s">
        <v>11</v>
      </c>
      <c r="G116" s="7" t="s">
        <v>12</v>
      </c>
    </row>
    <row r="117" ht="22.5" customHeight="1">
      <c r="A117" s="4">
        <v>46085.0</v>
      </c>
      <c r="B117" s="4"/>
      <c r="C117" s="5" t="s">
        <v>148</v>
      </c>
      <c r="D117" s="6">
        <v>2229.46</v>
      </c>
      <c r="E117" s="5" t="s">
        <v>10</v>
      </c>
      <c r="F117" s="5" t="s">
        <v>31</v>
      </c>
      <c r="G117" s="7" t="s">
        <v>12</v>
      </c>
    </row>
    <row r="118" ht="22.5" customHeight="1">
      <c r="A118" s="4">
        <v>46085.0</v>
      </c>
      <c r="B118" s="4"/>
      <c r="C118" s="5" t="s">
        <v>149</v>
      </c>
      <c r="D118" s="6">
        <v>2923.81</v>
      </c>
      <c r="E118" s="5" t="s">
        <v>10</v>
      </c>
      <c r="F118" s="5" t="s">
        <v>31</v>
      </c>
      <c r="G118" s="7" t="s">
        <v>12</v>
      </c>
    </row>
    <row r="119" ht="22.5" customHeight="1">
      <c r="A119" s="4">
        <v>46085.0</v>
      </c>
      <c r="B119" s="4"/>
      <c r="C119" s="5" t="s">
        <v>150</v>
      </c>
      <c r="D119" s="6">
        <v>5615.65</v>
      </c>
      <c r="E119" s="5" t="s">
        <v>10</v>
      </c>
      <c r="F119" s="5" t="s">
        <v>31</v>
      </c>
      <c r="G119" s="7" t="s">
        <v>12</v>
      </c>
    </row>
    <row r="120" ht="22.5" customHeight="1">
      <c r="A120" s="4">
        <v>46085.0</v>
      </c>
      <c r="B120" s="4"/>
      <c r="C120" s="5" t="s">
        <v>151</v>
      </c>
      <c r="D120" s="6">
        <v>1862.48</v>
      </c>
      <c r="E120" s="5" t="s">
        <v>10</v>
      </c>
      <c r="F120" s="5" t="s">
        <v>31</v>
      </c>
      <c r="G120" s="7" t="s">
        <v>12</v>
      </c>
    </row>
    <row r="121" ht="22.5" customHeight="1">
      <c r="A121" s="4">
        <v>46085.0</v>
      </c>
      <c r="B121" s="4"/>
      <c r="C121" s="5" t="s">
        <v>152</v>
      </c>
      <c r="D121" s="6">
        <v>524.24</v>
      </c>
      <c r="E121" s="5" t="s">
        <v>10</v>
      </c>
      <c r="F121" s="5" t="s">
        <v>14</v>
      </c>
      <c r="G121" s="7" t="s">
        <v>12</v>
      </c>
    </row>
    <row r="122" ht="22.5" customHeight="1">
      <c r="A122" s="4">
        <v>46089.0</v>
      </c>
      <c r="B122" s="4"/>
      <c r="C122" s="5" t="s">
        <v>153</v>
      </c>
      <c r="D122" s="6">
        <v>4000.0</v>
      </c>
      <c r="E122" s="5" t="s">
        <v>10</v>
      </c>
      <c r="F122" s="5" t="s">
        <v>69</v>
      </c>
      <c r="G122" s="7" t="s">
        <v>18</v>
      </c>
    </row>
    <row r="123" ht="22.5" customHeight="1">
      <c r="A123" s="4">
        <v>46089.0</v>
      </c>
      <c r="B123" s="4"/>
      <c r="C123" s="5" t="s">
        <v>154</v>
      </c>
      <c r="D123" s="6">
        <v>600.0</v>
      </c>
      <c r="E123" s="5" t="s">
        <v>10</v>
      </c>
      <c r="F123" s="5" t="s">
        <v>69</v>
      </c>
      <c r="G123" s="7" t="s">
        <v>83</v>
      </c>
    </row>
    <row r="124" ht="22.5" customHeight="1">
      <c r="A124" s="4">
        <v>46090.0</v>
      </c>
      <c r="B124" s="4"/>
      <c r="C124" s="5" t="s">
        <v>24</v>
      </c>
      <c r="D124" s="6">
        <v>83333.45</v>
      </c>
      <c r="E124" s="5" t="s">
        <v>10</v>
      </c>
      <c r="F124" s="5" t="s">
        <v>25</v>
      </c>
      <c r="G124" s="7" t="s">
        <v>26</v>
      </c>
    </row>
    <row r="125" ht="22.5" customHeight="1">
      <c r="A125" s="4">
        <v>46090.0</v>
      </c>
      <c r="B125" s="4"/>
      <c r="C125" s="5" t="s">
        <v>82</v>
      </c>
      <c r="D125" s="6">
        <v>4500.0</v>
      </c>
      <c r="E125" s="5" t="s">
        <v>10</v>
      </c>
      <c r="F125" s="5" t="s">
        <v>23</v>
      </c>
      <c r="G125" s="7" t="s">
        <v>83</v>
      </c>
    </row>
    <row r="126" ht="22.5" customHeight="1">
      <c r="A126" s="4">
        <v>46090.0</v>
      </c>
      <c r="B126" s="4"/>
      <c r="C126" s="5" t="s">
        <v>155</v>
      </c>
      <c r="D126" s="6">
        <v>5000.0</v>
      </c>
      <c r="E126" s="5" t="s">
        <v>10</v>
      </c>
      <c r="F126" s="5" t="s">
        <v>69</v>
      </c>
      <c r="G126" s="7" t="s">
        <v>18</v>
      </c>
    </row>
    <row r="127" ht="22.5" customHeight="1">
      <c r="A127" s="4">
        <v>46091.0</v>
      </c>
      <c r="B127" s="4"/>
      <c r="C127" s="5" t="s">
        <v>156</v>
      </c>
      <c r="D127" s="6">
        <v>1000000.0</v>
      </c>
      <c r="E127" s="5" t="s">
        <v>34</v>
      </c>
      <c r="F127" s="5" t="s">
        <v>157</v>
      </c>
      <c r="G127" s="7" t="s">
        <v>18</v>
      </c>
    </row>
    <row r="128" ht="22.5" customHeight="1">
      <c r="A128" s="4">
        <v>46092.0</v>
      </c>
      <c r="B128" s="4"/>
      <c r="C128" s="5" t="s">
        <v>80</v>
      </c>
      <c r="D128" s="6">
        <v>17910.31</v>
      </c>
      <c r="E128" s="5" t="s">
        <v>10</v>
      </c>
      <c r="F128" s="5" t="s">
        <v>25</v>
      </c>
      <c r="G128" s="7" t="s">
        <v>26</v>
      </c>
    </row>
    <row r="129" ht="22.5" customHeight="1">
      <c r="A129" s="4">
        <v>46095.0</v>
      </c>
      <c r="B129" s="4"/>
      <c r="C129" s="5" t="s">
        <v>154</v>
      </c>
      <c r="D129" s="6">
        <v>500.0</v>
      </c>
      <c r="E129" s="5" t="s">
        <v>10</v>
      </c>
      <c r="F129" s="5" t="s">
        <v>69</v>
      </c>
      <c r="G129" s="7" t="s">
        <v>83</v>
      </c>
    </row>
    <row r="130" ht="22.5" customHeight="1">
      <c r="A130" s="4">
        <v>46099.0</v>
      </c>
      <c r="B130" s="4"/>
      <c r="C130" s="5" t="s">
        <v>158</v>
      </c>
      <c r="D130" s="6">
        <v>11947.52</v>
      </c>
      <c r="E130" s="5" t="s">
        <v>34</v>
      </c>
      <c r="F130" s="5" t="s">
        <v>35</v>
      </c>
      <c r="G130" s="7" t="s">
        <v>12</v>
      </c>
    </row>
    <row r="131" ht="22.5" customHeight="1">
      <c r="A131" s="4">
        <v>46099.0</v>
      </c>
      <c r="B131" s="4"/>
      <c r="C131" s="5" t="s">
        <v>36</v>
      </c>
      <c r="D131" s="6">
        <v>31195.52</v>
      </c>
      <c r="E131" s="5" t="s">
        <v>34</v>
      </c>
      <c r="F131" s="5" t="s">
        <v>35</v>
      </c>
      <c r="G131" s="7" t="s">
        <v>12</v>
      </c>
    </row>
    <row r="132" ht="22.5" customHeight="1">
      <c r="A132" s="4">
        <v>46099.0</v>
      </c>
      <c r="B132" s="4"/>
      <c r="C132" s="5" t="s">
        <v>159</v>
      </c>
      <c r="D132" s="6">
        <v>1207.5</v>
      </c>
      <c r="E132" s="5" t="s">
        <v>10</v>
      </c>
      <c r="F132" s="5" t="s">
        <v>11</v>
      </c>
      <c r="G132" s="7" t="s">
        <v>12</v>
      </c>
    </row>
    <row r="133" ht="22.5" customHeight="1">
      <c r="A133" s="4">
        <v>46099.0</v>
      </c>
      <c r="B133" s="4"/>
      <c r="C133" s="5" t="s">
        <v>160</v>
      </c>
      <c r="D133" s="6">
        <v>19888.77</v>
      </c>
      <c r="E133" s="5" t="s">
        <v>10</v>
      </c>
      <c r="F133" s="5" t="s">
        <v>39</v>
      </c>
      <c r="G133" s="7" t="s">
        <v>12</v>
      </c>
    </row>
    <row r="134" ht="22.5" customHeight="1">
      <c r="A134" s="4">
        <v>46099.0</v>
      </c>
      <c r="B134" s="4"/>
      <c r="C134" s="5" t="s">
        <v>40</v>
      </c>
      <c r="D134" s="6">
        <v>2449.91</v>
      </c>
      <c r="E134" s="5" t="s">
        <v>10</v>
      </c>
      <c r="F134" s="5" t="s">
        <v>11</v>
      </c>
      <c r="G134" s="7" t="s">
        <v>12</v>
      </c>
    </row>
    <row r="135" ht="22.5" customHeight="1">
      <c r="A135" s="4">
        <v>46099.0</v>
      </c>
      <c r="B135" s="4"/>
      <c r="C135" s="5" t="s">
        <v>41</v>
      </c>
      <c r="D135" s="6">
        <v>8215.25</v>
      </c>
      <c r="E135" s="5" t="s">
        <v>10</v>
      </c>
      <c r="F135" s="5" t="s">
        <v>39</v>
      </c>
      <c r="G135" s="7" t="s">
        <v>12</v>
      </c>
    </row>
    <row r="136" ht="22.5" customHeight="1">
      <c r="A136" s="4">
        <v>46099.0</v>
      </c>
      <c r="B136" s="4"/>
      <c r="C136" s="5" t="s">
        <v>42</v>
      </c>
      <c r="D136" s="6">
        <v>4478.41</v>
      </c>
      <c r="E136" s="5" t="s">
        <v>10</v>
      </c>
      <c r="F136" s="5" t="s">
        <v>11</v>
      </c>
      <c r="G136" s="7" t="s">
        <v>12</v>
      </c>
    </row>
    <row r="137" ht="22.5" customHeight="1">
      <c r="A137" s="4">
        <v>46099.0</v>
      </c>
      <c r="B137" s="4"/>
      <c r="C137" s="5" t="s">
        <v>51</v>
      </c>
      <c r="D137" s="6">
        <v>41052.96</v>
      </c>
      <c r="E137" s="5" t="s">
        <v>10</v>
      </c>
      <c r="F137" s="5" t="s">
        <v>52</v>
      </c>
      <c r="G137" s="7" t="s">
        <v>12</v>
      </c>
    </row>
    <row r="138" ht="22.5" customHeight="1">
      <c r="A138" s="4">
        <v>46099.0</v>
      </c>
      <c r="B138" s="4"/>
      <c r="C138" s="5" t="s">
        <v>161</v>
      </c>
      <c r="D138" s="6">
        <v>709.82</v>
      </c>
      <c r="E138" s="5" t="s">
        <v>10</v>
      </c>
      <c r="F138" s="5" t="s">
        <v>120</v>
      </c>
      <c r="G138" s="7" t="s">
        <v>12</v>
      </c>
    </row>
    <row r="139" ht="22.5" customHeight="1">
      <c r="A139" s="4">
        <v>46099.0</v>
      </c>
      <c r="B139" s="4"/>
      <c r="C139" s="5" t="s">
        <v>119</v>
      </c>
      <c r="D139" s="6">
        <v>4675.46</v>
      </c>
      <c r="E139" s="5" t="s">
        <v>10</v>
      </c>
      <c r="F139" s="5" t="s">
        <v>120</v>
      </c>
      <c r="G139" s="7" t="s">
        <v>12</v>
      </c>
    </row>
    <row r="140" ht="22.5" customHeight="1">
      <c r="A140" s="4">
        <v>46099.0</v>
      </c>
      <c r="B140" s="4"/>
      <c r="C140" s="5" t="s">
        <v>121</v>
      </c>
      <c r="D140" s="6">
        <v>3220.59</v>
      </c>
      <c r="E140" s="5" t="s">
        <v>10</v>
      </c>
      <c r="F140" s="5" t="s">
        <v>122</v>
      </c>
      <c r="G140" s="7" t="s">
        <v>12</v>
      </c>
    </row>
    <row r="141" ht="22.5" customHeight="1">
      <c r="A141" s="4">
        <v>46099.0</v>
      </c>
      <c r="B141" s="4"/>
      <c r="C141" s="5" t="s">
        <v>162</v>
      </c>
      <c r="D141" s="6">
        <v>14890.0</v>
      </c>
      <c r="E141" s="5" t="s">
        <v>10</v>
      </c>
      <c r="F141" s="5" t="s">
        <v>125</v>
      </c>
      <c r="G141" s="7" t="s">
        <v>12</v>
      </c>
    </row>
    <row r="142" ht="22.5" customHeight="1">
      <c r="A142" s="4">
        <v>46099.0</v>
      </c>
      <c r="B142" s="4"/>
      <c r="C142" s="5" t="s">
        <v>124</v>
      </c>
      <c r="D142" s="6">
        <v>37258.0</v>
      </c>
      <c r="E142" s="5" t="s">
        <v>10</v>
      </c>
      <c r="F142" s="5" t="s">
        <v>125</v>
      </c>
      <c r="G142" s="7" t="s">
        <v>12</v>
      </c>
    </row>
    <row r="143" ht="22.5" customHeight="1">
      <c r="A143" s="4">
        <v>46099.0</v>
      </c>
      <c r="B143" s="4"/>
      <c r="C143" s="5" t="s">
        <v>124</v>
      </c>
      <c r="D143" s="6">
        <v>33837.0</v>
      </c>
      <c r="E143" s="5" t="s">
        <v>10</v>
      </c>
      <c r="F143" s="5" t="s">
        <v>125</v>
      </c>
      <c r="G143" s="7" t="s">
        <v>12</v>
      </c>
    </row>
    <row r="144" ht="22.5" customHeight="1">
      <c r="A144" s="4">
        <v>46099.0</v>
      </c>
      <c r="B144" s="4"/>
      <c r="C144" s="5" t="s">
        <v>162</v>
      </c>
      <c r="D144" s="6">
        <v>9017.0</v>
      </c>
      <c r="E144" s="5" t="s">
        <v>10</v>
      </c>
      <c r="F144" s="5" t="s">
        <v>125</v>
      </c>
      <c r="G144" s="7" t="s">
        <v>12</v>
      </c>
    </row>
    <row r="145" ht="22.5" customHeight="1">
      <c r="A145" s="4">
        <v>46099.0</v>
      </c>
      <c r="B145" s="4"/>
      <c r="C145" s="5" t="s">
        <v>163</v>
      </c>
      <c r="D145" s="6">
        <v>18034.0</v>
      </c>
      <c r="E145" s="5" t="s">
        <v>10</v>
      </c>
      <c r="F145" s="5" t="s">
        <v>120</v>
      </c>
      <c r="G145" s="7" t="s">
        <v>12</v>
      </c>
    </row>
    <row r="146" ht="22.5" customHeight="1">
      <c r="A146" s="4">
        <v>46099.0</v>
      </c>
      <c r="B146" s="4"/>
      <c r="C146" s="5" t="s">
        <v>123</v>
      </c>
      <c r="D146" s="6">
        <v>33717.0</v>
      </c>
      <c r="E146" s="5" t="s">
        <v>10</v>
      </c>
      <c r="F146" s="5" t="s">
        <v>120</v>
      </c>
      <c r="G146" s="7" t="s">
        <v>12</v>
      </c>
    </row>
    <row r="147" ht="22.5" customHeight="1">
      <c r="A147" s="4">
        <v>46099.0</v>
      </c>
      <c r="B147" s="4"/>
      <c r="C147" s="5" t="s">
        <v>54</v>
      </c>
      <c r="D147" s="6">
        <v>18483.78</v>
      </c>
      <c r="E147" s="5" t="s">
        <v>10</v>
      </c>
      <c r="F147" s="5" t="s">
        <v>20</v>
      </c>
      <c r="G147" s="7" t="s">
        <v>12</v>
      </c>
    </row>
    <row r="148" ht="22.5" customHeight="1">
      <c r="A148" s="4">
        <v>46099.0</v>
      </c>
      <c r="B148" s="4"/>
      <c r="C148" s="5" t="s">
        <v>164</v>
      </c>
      <c r="D148" s="6">
        <v>24000.0</v>
      </c>
      <c r="E148" s="5" t="s">
        <v>10</v>
      </c>
      <c r="F148" s="5" t="s">
        <v>31</v>
      </c>
      <c r="G148" s="7" t="s">
        <v>12</v>
      </c>
    </row>
    <row r="149" ht="22.5" customHeight="1">
      <c r="A149" s="4">
        <v>46099.0</v>
      </c>
      <c r="B149" s="4"/>
      <c r="C149" s="5" t="s">
        <v>165</v>
      </c>
      <c r="D149" s="6">
        <v>17842.7</v>
      </c>
      <c r="E149" s="5" t="s">
        <v>10</v>
      </c>
      <c r="F149" s="5" t="s">
        <v>128</v>
      </c>
      <c r="G149" s="7" t="s">
        <v>12</v>
      </c>
    </row>
    <row r="150" ht="22.5" customHeight="1">
      <c r="A150" s="4">
        <v>46099.0</v>
      </c>
      <c r="B150" s="4"/>
      <c r="C150" s="5" t="s">
        <v>166</v>
      </c>
      <c r="D150" s="6">
        <v>9680.2</v>
      </c>
      <c r="E150" s="5" t="s">
        <v>10</v>
      </c>
      <c r="F150" s="5" t="s">
        <v>125</v>
      </c>
      <c r="G150" s="7" t="s">
        <v>12</v>
      </c>
    </row>
    <row r="151" ht="22.5" customHeight="1">
      <c r="A151" s="4">
        <v>46099.0</v>
      </c>
      <c r="B151" s="4"/>
      <c r="C151" s="5" t="s">
        <v>166</v>
      </c>
      <c r="D151" s="6">
        <v>5277.2</v>
      </c>
      <c r="E151" s="5" t="s">
        <v>10</v>
      </c>
      <c r="F151" s="5" t="s">
        <v>120</v>
      </c>
      <c r="G151" s="7" t="s">
        <v>12</v>
      </c>
    </row>
    <row r="152" ht="22.5" customHeight="1">
      <c r="A152" s="4">
        <v>46099.0</v>
      </c>
      <c r="B152" s="4"/>
      <c r="C152" s="5" t="s">
        <v>166</v>
      </c>
      <c r="D152" s="6">
        <v>12663.9</v>
      </c>
      <c r="E152" s="5" t="s">
        <v>10</v>
      </c>
      <c r="F152" s="5" t="s">
        <v>125</v>
      </c>
      <c r="G152" s="7" t="s">
        <v>12</v>
      </c>
    </row>
    <row r="153" ht="22.5" customHeight="1">
      <c r="A153" s="4">
        <v>46099.0</v>
      </c>
      <c r="B153" s="4"/>
      <c r="C153" s="5" t="s">
        <v>167</v>
      </c>
      <c r="D153" s="6">
        <v>8448.0</v>
      </c>
      <c r="E153" s="5" t="s">
        <v>10</v>
      </c>
      <c r="F153" s="5" t="s">
        <v>128</v>
      </c>
      <c r="G153" s="7" t="s">
        <v>12</v>
      </c>
    </row>
    <row r="154" ht="22.5" customHeight="1">
      <c r="A154" s="4">
        <v>46099.0</v>
      </c>
      <c r="B154" s="4"/>
      <c r="C154" s="5" t="s">
        <v>168</v>
      </c>
      <c r="D154" s="6">
        <v>4413.34</v>
      </c>
      <c r="E154" s="5" t="s">
        <v>10</v>
      </c>
      <c r="F154" s="5" t="s">
        <v>31</v>
      </c>
      <c r="G154" s="7" t="s">
        <v>12</v>
      </c>
    </row>
    <row r="155" ht="22.5" customHeight="1">
      <c r="A155" s="4">
        <v>46099.0</v>
      </c>
      <c r="B155" s="4"/>
      <c r="C155" s="5" t="s">
        <v>169</v>
      </c>
      <c r="D155" s="6">
        <v>3500.0</v>
      </c>
      <c r="E155" s="5" t="s">
        <v>10</v>
      </c>
      <c r="F155" s="5" t="s">
        <v>31</v>
      </c>
      <c r="G155" s="7" t="s">
        <v>12</v>
      </c>
    </row>
    <row r="156" ht="22.5" customHeight="1">
      <c r="A156" s="4">
        <v>46099.0</v>
      </c>
      <c r="B156" s="4"/>
      <c r="C156" s="5" t="s">
        <v>170</v>
      </c>
      <c r="D156" s="6">
        <v>160000.0</v>
      </c>
      <c r="E156" s="5" t="s">
        <v>10</v>
      </c>
      <c r="F156" s="5" t="s">
        <v>31</v>
      </c>
      <c r="G156" s="7" t="s">
        <v>12</v>
      </c>
    </row>
    <row r="157" ht="22.5" customHeight="1">
      <c r="A157" s="4">
        <v>46099.0</v>
      </c>
      <c r="B157" s="4"/>
      <c r="C157" s="5" t="s">
        <v>171</v>
      </c>
      <c r="D157" s="6">
        <v>30872.0</v>
      </c>
      <c r="E157" s="5" t="s">
        <v>10</v>
      </c>
      <c r="F157" s="5" t="s">
        <v>31</v>
      </c>
      <c r="G157" s="7" t="s">
        <v>12</v>
      </c>
    </row>
    <row r="158" ht="22.5" customHeight="1">
      <c r="A158" s="4">
        <v>46099.0</v>
      </c>
      <c r="B158" s="4"/>
      <c r="C158" s="5" t="s">
        <v>172</v>
      </c>
      <c r="D158" s="6">
        <v>15137.0</v>
      </c>
      <c r="E158" s="5" t="s">
        <v>10</v>
      </c>
      <c r="F158" s="5" t="s">
        <v>31</v>
      </c>
      <c r="G158" s="7" t="s">
        <v>12</v>
      </c>
    </row>
    <row r="159" ht="22.5" customHeight="1">
      <c r="A159" s="4">
        <v>46099.0</v>
      </c>
      <c r="B159" s="4"/>
      <c r="C159" s="5" t="s">
        <v>173</v>
      </c>
      <c r="D159" s="6">
        <v>20519.741</v>
      </c>
      <c r="E159" s="5" t="s">
        <v>10</v>
      </c>
      <c r="F159" s="5" t="s">
        <v>128</v>
      </c>
      <c r="G159" s="7" t="s">
        <v>12</v>
      </c>
    </row>
    <row r="160" ht="22.5" customHeight="1">
      <c r="A160" s="4">
        <v>46099.0</v>
      </c>
      <c r="B160" s="4"/>
      <c r="C160" s="5" t="s">
        <v>174</v>
      </c>
      <c r="D160" s="6">
        <v>16900.0</v>
      </c>
      <c r="E160" s="5" t="s">
        <v>10</v>
      </c>
      <c r="F160" s="5" t="s">
        <v>69</v>
      </c>
      <c r="G160" s="7" t="s">
        <v>12</v>
      </c>
    </row>
    <row r="161" ht="22.5" customHeight="1">
      <c r="A161" s="4">
        <v>46099.0</v>
      </c>
      <c r="B161" s="4"/>
      <c r="C161" s="5" t="s">
        <v>175</v>
      </c>
      <c r="D161" s="6">
        <v>7927.0</v>
      </c>
      <c r="E161" s="5" t="s">
        <v>10</v>
      </c>
      <c r="F161" s="5" t="s">
        <v>128</v>
      </c>
      <c r="G161" s="7" t="s">
        <v>12</v>
      </c>
    </row>
    <row r="162" ht="22.5" customHeight="1">
      <c r="A162" s="4">
        <v>46099.0</v>
      </c>
      <c r="B162" s="4"/>
      <c r="C162" s="5" t="s">
        <v>176</v>
      </c>
      <c r="D162" s="6">
        <v>1912.0</v>
      </c>
      <c r="E162" s="5" t="s">
        <v>10</v>
      </c>
      <c r="F162" s="5" t="s">
        <v>11</v>
      </c>
      <c r="G162" s="7" t="s">
        <v>12</v>
      </c>
    </row>
    <row r="163" ht="22.5" customHeight="1">
      <c r="A163" s="4">
        <v>46099.0</v>
      </c>
      <c r="B163" s="4"/>
      <c r="C163" s="5" t="s">
        <v>177</v>
      </c>
      <c r="D163" s="6">
        <v>10380.0</v>
      </c>
      <c r="E163" s="5" t="s">
        <v>10</v>
      </c>
      <c r="F163" s="5" t="s">
        <v>128</v>
      </c>
      <c r="G163" s="7" t="s">
        <v>12</v>
      </c>
    </row>
    <row r="164" ht="22.5" customHeight="1">
      <c r="A164" s="4">
        <v>46099.0</v>
      </c>
      <c r="B164" s="4"/>
      <c r="C164" s="5" t="s">
        <v>178</v>
      </c>
      <c r="D164" s="6">
        <v>6500.0</v>
      </c>
      <c r="E164" s="5" t="s">
        <v>10</v>
      </c>
      <c r="F164" s="5" t="s">
        <v>128</v>
      </c>
      <c r="G164" s="7" t="s">
        <v>12</v>
      </c>
    </row>
    <row r="165" ht="22.5" customHeight="1">
      <c r="A165" s="4">
        <v>46099.0</v>
      </c>
      <c r="B165" s="4"/>
      <c r="C165" s="5" t="s">
        <v>179</v>
      </c>
      <c r="D165" s="6">
        <v>14000.0</v>
      </c>
      <c r="E165" s="5" t="s">
        <v>10</v>
      </c>
      <c r="F165" s="5" t="s">
        <v>69</v>
      </c>
      <c r="G165" s="7" t="s">
        <v>12</v>
      </c>
    </row>
    <row r="166" ht="22.5" customHeight="1">
      <c r="A166" s="4">
        <v>46099.0</v>
      </c>
      <c r="B166" s="4"/>
      <c r="C166" s="5" t="s">
        <v>180</v>
      </c>
      <c r="D166" s="6">
        <v>20066.0</v>
      </c>
      <c r="E166" s="5" t="s">
        <v>10</v>
      </c>
      <c r="F166" s="5" t="s">
        <v>128</v>
      </c>
      <c r="G166" s="7" t="s">
        <v>12</v>
      </c>
    </row>
    <row r="167" ht="22.5" customHeight="1">
      <c r="A167" s="4">
        <v>46099.0</v>
      </c>
      <c r="B167" s="4"/>
      <c r="C167" s="5" t="s">
        <v>57</v>
      </c>
      <c r="D167" s="6">
        <v>436686.63</v>
      </c>
      <c r="E167" s="5" t="s">
        <v>58</v>
      </c>
      <c r="F167" s="5" t="s">
        <v>59</v>
      </c>
      <c r="G167" s="7" t="s">
        <v>12</v>
      </c>
    </row>
    <row r="168" ht="22.5" customHeight="1">
      <c r="A168" s="4">
        <v>46099.0</v>
      </c>
      <c r="B168" s="4"/>
      <c r="C168" s="5" t="s">
        <v>181</v>
      </c>
      <c r="D168" s="6">
        <v>5205.0</v>
      </c>
      <c r="E168" s="5" t="s">
        <v>10</v>
      </c>
      <c r="F168" s="5" t="s">
        <v>128</v>
      </c>
      <c r="G168" s="7" t="s">
        <v>12</v>
      </c>
    </row>
    <row r="169" ht="22.5" customHeight="1">
      <c r="A169" s="4">
        <v>46099.0</v>
      </c>
      <c r="B169" s="4"/>
      <c r="C169" s="5" t="s">
        <v>182</v>
      </c>
      <c r="D169" s="6">
        <v>2500.0</v>
      </c>
      <c r="E169" s="5" t="s">
        <v>10</v>
      </c>
      <c r="F169" s="5" t="s">
        <v>31</v>
      </c>
      <c r="G169" s="7" t="s">
        <v>12</v>
      </c>
    </row>
    <row r="170" ht="22.5" customHeight="1">
      <c r="A170" s="4">
        <v>46099.0</v>
      </c>
      <c r="B170" s="4"/>
      <c r="C170" s="5" t="s">
        <v>71</v>
      </c>
      <c r="D170" s="6">
        <v>16054.34</v>
      </c>
      <c r="E170" s="5" t="s">
        <v>10</v>
      </c>
      <c r="F170" s="5" t="s">
        <v>14</v>
      </c>
      <c r="G170" s="7" t="s">
        <v>12</v>
      </c>
    </row>
    <row r="171" ht="22.5" customHeight="1">
      <c r="A171" s="4">
        <v>46099.0</v>
      </c>
      <c r="B171" s="4"/>
      <c r="C171" s="5" t="s">
        <v>82</v>
      </c>
      <c r="D171" s="6">
        <v>5000.0</v>
      </c>
      <c r="E171" s="5" t="s">
        <v>10</v>
      </c>
      <c r="F171" s="5" t="s">
        <v>23</v>
      </c>
      <c r="G171" s="7" t="s">
        <v>18</v>
      </c>
    </row>
    <row r="172" ht="22.5" customHeight="1">
      <c r="A172" s="4">
        <v>46104.0</v>
      </c>
      <c r="B172" s="4"/>
      <c r="C172" s="5" t="s">
        <v>82</v>
      </c>
      <c r="D172" s="6">
        <v>5000.0</v>
      </c>
      <c r="E172" s="5" t="s">
        <v>10</v>
      </c>
      <c r="F172" s="5" t="s">
        <v>23</v>
      </c>
      <c r="G172" s="7" t="s">
        <v>18</v>
      </c>
    </row>
    <row r="173" ht="22.5" customHeight="1">
      <c r="A173" s="4">
        <v>46105.0</v>
      </c>
      <c r="B173" s="4"/>
      <c r="C173" s="5" t="s">
        <v>183</v>
      </c>
      <c r="D173" s="6">
        <v>21400.0</v>
      </c>
      <c r="E173" s="5" t="s">
        <v>10</v>
      </c>
      <c r="F173" s="5" t="s">
        <v>31</v>
      </c>
      <c r="G173" s="7" t="s">
        <v>18</v>
      </c>
    </row>
    <row r="174" ht="22.5" customHeight="1">
      <c r="A174" s="4">
        <v>46105.0</v>
      </c>
      <c r="B174" s="4"/>
      <c r="C174" s="5" t="s">
        <v>184</v>
      </c>
      <c r="D174" s="6">
        <v>500.0</v>
      </c>
      <c r="E174" s="5" t="s">
        <v>10</v>
      </c>
      <c r="F174" s="5" t="s">
        <v>31</v>
      </c>
      <c r="G174" s="7" t="s">
        <v>18</v>
      </c>
    </row>
    <row r="175" ht="22.5" customHeight="1">
      <c r="A175" s="4">
        <v>46108.0</v>
      </c>
      <c r="B175" s="4"/>
      <c r="C175" s="5" t="s">
        <v>185</v>
      </c>
      <c r="D175" s="6">
        <v>11621.63</v>
      </c>
      <c r="E175" s="5" t="s">
        <v>10</v>
      </c>
      <c r="F175" s="5" t="s">
        <v>28</v>
      </c>
      <c r="G175" s="7" t="s">
        <v>18</v>
      </c>
    </row>
    <row r="176" ht="22.5" customHeight="1">
      <c r="A176" s="4">
        <v>46108.0</v>
      </c>
      <c r="B176" s="4"/>
      <c r="C176" s="5" t="s">
        <v>76</v>
      </c>
      <c r="D176" s="6">
        <v>4571.07</v>
      </c>
      <c r="E176" s="5" t="s">
        <v>10</v>
      </c>
      <c r="F176" s="5" t="s">
        <v>77</v>
      </c>
      <c r="G176" s="7" t="s">
        <v>78</v>
      </c>
    </row>
    <row r="177" ht="22.5" customHeight="1">
      <c r="A177" s="4">
        <v>46108.0</v>
      </c>
      <c r="B177" s="4"/>
      <c r="C177" s="5" t="s">
        <v>79</v>
      </c>
      <c r="D177" s="6">
        <v>45851.6</v>
      </c>
      <c r="E177" s="5" t="s">
        <v>10</v>
      </c>
      <c r="F177" s="5" t="s">
        <v>25</v>
      </c>
      <c r="G177" s="7" t="s">
        <v>78</v>
      </c>
    </row>
    <row r="178" ht="22.5" customHeight="1">
      <c r="A178" s="4">
        <v>46108.0</v>
      </c>
      <c r="B178" s="4"/>
      <c r="C178" s="5" t="s">
        <v>80</v>
      </c>
      <c r="D178" s="6">
        <v>17910.31</v>
      </c>
      <c r="E178" s="5" t="s">
        <v>10</v>
      </c>
      <c r="F178" s="5" t="s">
        <v>25</v>
      </c>
      <c r="G178" s="7" t="s">
        <v>78</v>
      </c>
    </row>
    <row r="179" ht="22.5" customHeight="1">
      <c r="A179" s="4">
        <v>46108.0</v>
      </c>
      <c r="B179" s="4"/>
      <c r="C179" s="5" t="s">
        <v>81</v>
      </c>
      <c r="D179" s="6">
        <v>62243.48</v>
      </c>
      <c r="E179" s="5" t="s">
        <v>58</v>
      </c>
      <c r="F179" s="5" t="s">
        <v>59</v>
      </c>
      <c r="G179" s="7" t="s">
        <v>78</v>
      </c>
    </row>
    <row r="180" ht="22.5" customHeight="1">
      <c r="A180" s="4">
        <v>46110.0</v>
      </c>
      <c r="B180" s="4"/>
      <c r="C180" s="5" t="s">
        <v>154</v>
      </c>
      <c r="D180" s="6">
        <v>1000.0</v>
      </c>
      <c r="E180" s="5" t="s">
        <v>10</v>
      </c>
      <c r="F180" s="5" t="s">
        <v>69</v>
      </c>
      <c r="G180" s="7" t="s">
        <v>83</v>
      </c>
    </row>
    <row r="181" ht="22.5" customHeight="1">
      <c r="A181" s="4">
        <v>46114.0</v>
      </c>
      <c r="B181" s="4"/>
      <c r="C181" s="5" t="s">
        <v>186</v>
      </c>
      <c r="D181" s="6">
        <v>8000.0</v>
      </c>
      <c r="E181" s="5" t="s">
        <v>10</v>
      </c>
      <c r="F181" s="5" t="s">
        <v>11</v>
      </c>
      <c r="G181" s="7" t="s">
        <v>18</v>
      </c>
    </row>
    <row r="182" ht="22.5" customHeight="1">
      <c r="A182" s="4">
        <v>46114.0</v>
      </c>
      <c r="B182" s="4"/>
      <c r="C182" s="5" t="s">
        <v>187</v>
      </c>
      <c r="D182" s="6">
        <v>20000.0</v>
      </c>
      <c r="E182" s="5" t="s">
        <v>10</v>
      </c>
      <c r="F182" s="5" t="s">
        <v>139</v>
      </c>
      <c r="G182" s="7" t="s">
        <v>83</v>
      </c>
    </row>
    <row r="183" ht="22.5" customHeight="1">
      <c r="A183" s="4">
        <v>46116.0</v>
      </c>
      <c r="B183" s="4"/>
      <c r="C183" s="5" t="s">
        <v>188</v>
      </c>
      <c r="D183" s="6">
        <v>29230.0</v>
      </c>
      <c r="E183" s="5" t="s">
        <v>16</v>
      </c>
      <c r="F183" s="5" t="s">
        <v>17</v>
      </c>
      <c r="G183" s="7" t="s">
        <v>18</v>
      </c>
    </row>
    <row r="184" ht="22.5" customHeight="1">
      <c r="A184" s="4">
        <v>46117.0</v>
      </c>
      <c r="B184" s="4"/>
      <c r="C184" s="5" t="s">
        <v>154</v>
      </c>
      <c r="D184" s="6">
        <v>1100.0</v>
      </c>
      <c r="E184" s="5" t="s">
        <v>10</v>
      </c>
      <c r="F184" s="5" t="s">
        <v>69</v>
      </c>
      <c r="G184" s="7" t="s">
        <v>83</v>
      </c>
    </row>
    <row r="185" ht="22.5" customHeight="1">
      <c r="A185" s="4">
        <v>46118.0</v>
      </c>
      <c r="B185" s="4"/>
      <c r="C185" s="5" t="s">
        <v>189</v>
      </c>
      <c r="D185" s="6">
        <v>11881.0</v>
      </c>
      <c r="E185" s="5" t="s">
        <v>10</v>
      </c>
      <c r="F185" s="5" t="s">
        <v>69</v>
      </c>
      <c r="G185" s="7" t="s">
        <v>12</v>
      </c>
    </row>
    <row r="186" ht="22.5" customHeight="1">
      <c r="A186" s="4">
        <v>46118.0</v>
      </c>
      <c r="B186" s="4"/>
      <c r="C186" s="5" t="s">
        <v>190</v>
      </c>
      <c r="D186" s="6">
        <v>2797.54</v>
      </c>
      <c r="E186" s="5" t="s">
        <v>10</v>
      </c>
      <c r="F186" s="5" t="s">
        <v>31</v>
      </c>
      <c r="G186" s="7" t="s">
        <v>12</v>
      </c>
    </row>
    <row r="187" ht="22.5" customHeight="1">
      <c r="A187" s="4">
        <v>46118.0</v>
      </c>
      <c r="B187" s="4"/>
      <c r="C187" s="5" t="s">
        <v>191</v>
      </c>
      <c r="D187" s="6">
        <v>1176.68</v>
      </c>
      <c r="E187" s="5" t="s">
        <v>10</v>
      </c>
      <c r="F187" s="5" t="s">
        <v>31</v>
      </c>
      <c r="G187" s="7" t="s">
        <v>12</v>
      </c>
    </row>
    <row r="188" ht="22.5" customHeight="1">
      <c r="A188" s="4">
        <v>46118.0</v>
      </c>
      <c r="B188" s="4"/>
      <c r="C188" s="5" t="s">
        <v>192</v>
      </c>
      <c r="D188" s="6">
        <v>7273.8</v>
      </c>
      <c r="E188" s="5" t="s">
        <v>10</v>
      </c>
      <c r="F188" s="5" t="s">
        <v>11</v>
      </c>
      <c r="G188" s="7" t="s">
        <v>12</v>
      </c>
    </row>
    <row r="189" ht="22.5" customHeight="1">
      <c r="A189" s="4">
        <v>46118.0</v>
      </c>
      <c r="B189" s="4"/>
      <c r="C189" s="5" t="s">
        <v>193</v>
      </c>
      <c r="D189" s="6">
        <v>2146.59</v>
      </c>
      <c r="E189" s="5" t="s">
        <v>10</v>
      </c>
      <c r="F189" s="5" t="s">
        <v>11</v>
      </c>
      <c r="G189" s="7" t="s">
        <v>12</v>
      </c>
    </row>
    <row r="190" ht="22.5" customHeight="1">
      <c r="A190" s="4">
        <v>46118.0</v>
      </c>
      <c r="B190" s="4"/>
      <c r="C190" s="5" t="s">
        <v>194</v>
      </c>
      <c r="D190" s="6">
        <v>3951.91</v>
      </c>
      <c r="E190" s="5" t="s">
        <v>10</v>
      </c>
      <c r="F190" s="5" t="s">
        <v>31</v>
      </c>
      <c r="G190" s="7" t="s">
        <v>12</v>
      </c>
    </row>
    <row r="191" ht="22.5" customHeight="1">
      <c r="A191" s="4">
        <v>46118.0</v>
      </c>
      <c r="B191" s="4"/>
      <c r="C191" s="5" t="s">
        <v>195</v>
      </c>
      <c r="D191" s="6">
        <v>1827.59</v>
      </c>
      <c r="E191" s="5" t="s">
        <v>10</v>
      </c>
      <c r="F191" s="5" t="s">
        <v>11</v>
      </c>
      <c r="G191" s="7" t="s">
        <v>12</v>
      </c>
    </row>
    <row r="192" ht="22.5" customHeight="1">
      <c r="A192" s="4">
        <v>46118.0</v>
      </c>
      <c r="B192" s="4"/>
      <c r="C192" s="5" t="s">
        <v>196</v>
      </c>
      <c r="D192" s="6">
        <v>2229.46</v>
      </c>
      <c r="E192" s="5" t="s">
        <v>10</v>
      </c>
      <c r="F192" s="5" t="s">
        <v>31</v>
      </c>
      <c r="G192" s="7" t="s">
        <v>12</v>
      </c>
    </row>
    <row r="193" ht="22.5" customHeight="1">
      <c r="A193" s="4">
        <v>46118.0</v>
      </c>
      <c r="B193" s="4"/>
      <c r="C193" s="5" t="s">
        <v>197</v>
      </c>
      <c r="D193" s="6">
        <v>2923.81</v>
      </c>
      <c r="E193" s="5" t="s">
        <v>10</v>
      </c>
      <c r="F193" s="5" t="s">
        <v>31</v>
      </c>
      <c r="G193" s="7" t="s">
        <v>12</v>
      </c>
    </row>
    <row r="194" ht="22.5" customHeight="1">
      <c r="A194" s="4">
        <v>46118.0</v>
      </c>
      <c r="B194" s="4"/>
      <c r="C194" s="5" t="s">
        <v>198</v>
      </c>
      <c r="D194" s="6">
        <v>5615.65</v>
      </c>
      <c r="E194" s="5" t="s">
        <v>10</v>
      </c>
      <c r="F194" s="5" t="s">
        <v>31</v>
      </c>
      <c r="G194" s="7" t="s">
        <v>12</v>
      </c>
    </row>
    <row r="195" ht="22.5" customHeight="1">
      <c r="A195" s="4">
        <v>46118.0</v>
      </c>
      <c r="B195" s="4"/>
      <c r="C195" s="5" t="s">
        <v>199</v>
      </c>
      <c r="D195" s="6">
        <v>1862.48</v>
      </c>
      <c r="E195" s="5" t="s">
        <v>10</v>
      </c>
      <c r="F195" s="5" t="s">
        <v>31</v>
      </c>
      <c r="G195" s="7" t="s">
        <v>12</v>
      </c>
    </row>
    <row r="196" ht="22.5" customHeight="1">
      <c r="A196" s="4">
        <v>46118.0</v>
      </c>
      <c r="B196" s="4"/>
      <c r="C196" s="5" t="s">
        <v>152</v>
      </c>
      <c r="D196" s="6">
        <v>524.24</v>
      </c>
      <c r="E196" s="5" t="s">
        <v>10</v>
      </c>
      <c r="F196" s="5" t="s">
        <v>14</v>
      </c>
      <c r="G196" s="7" t="s">
        <v>12</v>
      </c>
    </row>
    <row r="197" ht="22.5" customHeight="1">
      <c r="A197" s="4">
        <v>46119.0</v>
      </c>
      <c r="B197" s="4"/>
      <c r="C197" s="5" t="s">
        <v>200</v>
      </c>
      <c r="D197" s="6">
        <v>1500.0</v>
      </c>
      <c r="E197" s="5" t="s">
        <v>10</v>
      </c>
      <c r="F197" s="5" t="s">
        <v>31</v>
      </c>
      <c r="G197" s="7" t="s">
        <v>83</v>
      </c>
    </row>
    <row r="198" ht="22.5" customHeight="1">
      <c r="A198" s="4">
        <v>46121.0</v>
      </c>
      <c r="B198" s="4"/>
      <c r="C198" s="5" t="s">
        <v>24</v>
      </c>
      <c r="D198" s="6">
        <v>83333.45</v>
      </c>
      <c r="E198" s="5" t="s">
        <v>10</v>
      </c>
      <c r="F198" s="5" t="s">
        <v>25</v>
      </c>
      <c r="G198" s="7" t="s">
        <v>26</v>
      </c>
    </row>
    <row r="199" ht="22.5" customHeight="1">
      <c r="A199" s="4">
        <v>46121.0</v>
      </c>
      <c r="B199" s="4"/>
      <c r="C199" s="5" t="s">
        <v>22</v>
      </c>
      <c r="D199" s="6">
        <v>40000.0</v>
      </c>
      <c r="E199" s="5" t="s">
        <v>10</v>
      </c>
      <c r="F199" s="5" t="s">
        <v>23</v>
      </c>
      <c r="G199" s="7" t="s">
        <v>18</v>
      </c>
    </row>
    <row r="200" ht="22.5" customHeight="1">
      <c r="A200" s="4">
        <v>46122.0</v>
      </c>
      <c r="B200" s="4"/>
      <c r="C200" s="5" t="s">
        <v>74</v>
      </c>
      <c r="D200" s="6">
        <v>57000.0</v>
      </c>
      <c r="E200" s="5" t="s">
        <v>16</v>
      </c>
      <c r="F200" s="5" t="s">
        <v>75</v>
      </c>
      <c r="G200" s="7" t="s">
        <v>18</v>
      </c>
    </row>
    <row r="201" ht="22.5" customHeight="1">
      <c r="A201" s="4">
        <v>46126.0</v>
      </c>
      <c r="B201" s="4"/>
      <c r="C201" s="5" t="s">
        <v>201</v>
      </c>
      <c r="D201" s="6">
        <v>343202.08</v>
      </c>
      <c r="E201" s="5" t="s">
        <v>34</v>
      </c>
      <c r="F201" s="5" t="s">
        <v>35</v>
      </c>
      <c r="G201" s="7" t="s">
        <v>18</v>
      </c>
    </row>
    <row r="202" ht="22.5" customHeight="1">
      <c r="A202" s="4">
        <v>46127.0</v>
      </c>
      <c r="B202" s="4"/>
      <c r="C202" s="5" t="s">
        <v>202</v>
      </c>
      <c r="D202" s="6">
        <v>15800.0</v>
      </c>
      <c r="E202" s="5" t="s">
        <v>34</v>
      </c>
      <c r="F202" s="5" t="s">
        <v>35</v>
      </c>
      <c r="G202" s="7" t="s">
        <v>18</v>
      </c>
    </row>
    <row r="203" ht="22.5" customHeight="1">
      <c r="A203" s="4">
        <v>46127.0</v>
      </c>
      <c r="B203" s="4"/>
      <c r="C203" s="5" t="s">
        <v>82</v>
      </c>
      <c r="D203" s="6">
        <v>5000.0</v>
      </c>
      <c r="E203" s="5" t="s">
        <v>10</v>
      </c>
      <c r="F203" s="5" t="s">
        <v>23</v>
      </c>
      <c r="G203" s="7" t="s">
        <v>83</v>
      </c>
    </row>
    <row r="204" ht="22.5" customHeight="1">
      <c r="A204" s="4">
        <v>46133.0</v>
      </c>
      <c r="B204" s="4"/>
      <c r="C204" s="5" t="s">
        <v>203</v>
      </c>
      <c r="D204" s="6">
        <v>1050000.0</v>
      </c>
      <c r="E204" s="5" t="s">
        <v>34</v>
      </c>
      <c r="F204" s="5" t="s">
        <v>35</v>
      </c>
      <c r="G204" s="7" t="s">
        <v>18</v>
      </c>
    </row>
    <row r="205" ht="22.5" customHeight="1">
      <c r="A205" s="4">
        <v>46134.0</v>
      </c>
      <c r="B205" s="4"/>
      <c r="C205" s="5" t="s">
        <v>204</v>
      </c>
      <c r="D205" s="6">
        <v>11947.52</v>
      </c>
      <c r="E205" s="5" t="s">
        <v>34</v>
      </c>
      <c r="F205" s="5" t="s">
        <v>35</v>
      </c>
      <c r="G205" s="7" t="s">
        <v>12</v>
      </c>
    </row>
    <row r="206" ht="22.5" customHeight="1">
      <c r="A206" s="4">
        <v>46134.0</v>
      </c>
      <c r="B206" s="4"/>
      <c r="C206" s="5" t="s">
        <v>205</v>
      </c>
      <c r="D206" s="6">
        <v>31195.52</v>
      </c>
      <c r="E206" s="5" t="s">
        <v>34</v>
      </c>
      <c r="F206" s="5" t="s">
        <v>35</v>
      </c>
      <c r="G206" s="7" t="s">
        <v>12</v>
      </c>
    </row>
    <row r="207" ht="22.5" customHeight="1">
      <c r="A207" s="4">
        <v>46134.0</v>
      </c>
      <c r="B207" s="4"/>
      <c r="C207" s="5" t="s">
        <v>206</v>
      </c>
      <c r="D207" s="6">
        <v>1207.5</v>
      </c>
      <c r="E207" s="5" t="s">
        <v>10</v>
      </c>
      <c r="F207" s="5" t="s">
        <v>11</v>
      </c>
      <c r="G207" s="7" t="s">
        <v>12</v>
      </c>
    </row>
    <row r="208" ht="22.5" customHeight="1">
      <c r="A208" s="4">
        <v>46134.0</v>
      </c>
      <c r="B208" s="4"/>
      <c r="C208" s="5" t="s">
        <v>207</v>
      </c>
      <c r="D208" s="6">
        <v>2449.91</v>
      </c>
      <c r="E208" s="5" t="s">
        <v>10</v>
      </c>
      <c r="F208" s="5" t="s">
        <v>11</v>
      </c>
      <c r="G208" s="7" t="s">
        <v>12</v>
      </c>
    </row>
    <row r="209" ht="22.5" customHeight="1">
      <c r="A209" s="4">
        <v>46134.0</v>
      </c>
      <c r="B209" s="4"/>
      <c r="C209" s="5" t="s">
        <v>208</v>
      </c>
      <c r="D209" s="6">
        <v>8215.25</v>
      </c>
      <c r="E209" s="5" t="s">
        <v>10</v>
      </c>
      <c r="F209" s="5" t="s">
        <v>39</v>
      </c>
      <c r="G209" s="7" t="s">
        <v>12</v>
      </c>
    </row>
    <row r="210" ht="22.5" customHeight="1">
      <c r="A210" s="4">
        <v>46134.0</v>
      </c>
      <c r="B210" s="4"/>
      <c r="C210" s="5" t="s">
        <v>209</v>
      </c>
      <c r="D210" s="6">
        <v>4478.41</v>
      </c>
      <c r="E210" s="5" t="s">
        <v>10</v>
      </c>
      <c r="F210" s="5" t="s">
        <v>11</v>
      </c>
      <c r="G210" s="7" t="s">
        <v>12</v>
      </c>
    </row>
    <row r="211" ht="22.5" customHeight="1">
      <c r="A211" s="4">
        <v>46134.0</v>
      </c>
      <c r="B211" s="4"/>
      <c r="C211" s="5" t="s">
        <v>210</v>
      </c>
      <c r="D211" s="6">
        <v>24000.0</v>
      </c>
      <c r="E211" s="5" t="s">
        <v>10</v>
      </c>
      <c r="F211" s="5" t="s">
        <v>31</v>
      </c>
      <c r="G211" s="7" t="s">
        <v>12</v>
      </c>
    </row>
    <row r="212" ht="22.5" customHeight="1">
      <c r="A212" s="4">
        <v>46134.0</v>
      </c>
      <c r="B212" s="4"/>
      <c r="C212" s="5" t="s">
        <v>211</v>
      </c>
      <c r="D212" s="6">
        <v>4413.34</v>
      </c>
      <c r="E212" s="5" t="s">
        <v>10</v>
      </c>
      <c r="F212" s="5" t="s">
        <v>31</v>
      </c>
      <c r="G212" s="7" t="s">
        <v>12</v>
      </c>
    </row>
    <row r="213" ht="22.5" customHeight="1">
      <c r="A213" s="4">
        <v>46134.0</v>
      </c>
      <c r="B213" s="4"/>
      <c r="C213" s="5" t="s">
        <v>212</v>
      </c>
      <c r="D213" s="6">
        <v>3500.0</v>
      </c>
      <c r="E213" s="5" t="s">
        <v>10</v>
      </c>
      <c r="F213" s="5" t="s">
        <v>31</v>
      </c>
      <c r="G213" s="7" t="s">
        <v>12</v>
      </c>
    </row>
    <row r="214" ht="22.5" customHeight="1">
      <c r="A214" s="4">
        <v>46134.0</v>
      </c>
      <c r="B214" s="4"/>
      <c r="C214" s="5" t="s">
        <v>213</v>
      </c>
      <c r="D214" s="6">
        <v>1912.0</v>
      </c>
      <c r="E214" s="5" t="s">
        <v>10</v>
      </c>
      <c r="F214" s="5" t="s">
        <v>11</v>
      </c>
      <c r="G214" s="7" t="s">
        <v>12</v>
      </c>
    </row>
    <row r="215" ht="22.5" customHeight="1">
      <c r="A215" s="4">
        <v>46134.0</v>
      </c>
      <c r="B215" s="4"/>
      <c r="C215" s="5" t="s">
        <v>162</v>
      </c>
      <c r="D215" s="6">
        <v>7848.0</v>
      </c>
      <c r="E215" s="5" t="s">
        <v>10</v>
      </c>
      <c r="F215" s="5" t="s">
        <v>125</v>
      </c>
      <c r="G215" s="7" t="s">
        <v>12</v>
      </c>
    </row>
    <row r="216" ht="22.5" customHeight="1">
      <c r="A216" s="4">
        <v>46134.0</v>
      </c>
      <c r="B216" s="4"/>
      <c r="C216" s="5" t="s">
        <v>124</v>
      </c>
      <c r="D216" s="6">
        <v>38862.0</v>
      </c>
      <c r="E216" s="5" t="s">
        <v>10</v>
      </c>
      <c r="F216" s="5" t="s">
        <v>125</v>
      </c>
      <c r="G216" s="7" t="s">
        <v>12</v>
      </c>
    </row>
    <row r="217" ht="22.5" customHeight="1">
      <c r="A217" s="4">
        <v>46134.0</v>
      </c>
      <c r="B217" s="4"/>
      <c r="C217" s="5" t="s">
        <v>126</v>
      </c>
      <c r="D217" s="6">
        <v>35294.0</v>
      </c>
      <c r="E217" s="5" t="s">
        <v>10</v>
      </c>
      <c r="F217" s="5" t="s">
        <v>125</v>
      </c>
      <c r="G217" s="7" t="s">
        <v>12</v>
      </c>
    </row>
    <row r="218" ht="22.5" customHeight="1">
      <c r="A218" s="4">
        <v>46134.0</v>
      </c>
      <c r="B218" s="4"/>
      <c r="C218" s="5" t="s">
        <v>214</v>
      </c>
      <c r="D218" s="6">
        <v>7848.0</v>
      </c>
      <c r="E218" s="5" t="s">
        <v>10</v>
      </c>
      <c r="F218" s="5" t="s">
        <v>125</v>
      </c>
      <c r="G218" s="7" t="s">
        <v>12</v>
      </c>
    </row>
    <row r="219" ht="22.5" customHeight="1">
      <c r="A219" s="4">
        <v>46134.0</v>
      </c>
      <c r="B219" s="4"/>
      <c r="C219" s="5" t="s">
        <v>163</v>
      </c>
      <c r="D219" s="6">
        <v>15696.0</v>
      </c>
      <c r="E219" s="5" t="s">
        <v>10</v>
      </c>
      <c r="F219" s="5" t="s">
        <v>120</v>
      </c>
      <c r="G219" s="7" t="s">
        <v>12</v>
      </c>
    </row>
    <row r="220" ht="22.5" customHeight="1">
      <c r="A220" s="4">
        <v>46134.0</v>
      </c>
      <c r="B220" s="4"/>
      <c r="C220" s="5" t="s">
        <v>123</v>
      </c>
      <c r="D220" s="6">
        <v>35169.0</v>
      </c>
      <c r="E220" s="5" t="s">
        <v>10</v>
      </c>
      <c r="F220" s="5" t="s">
        <v>120</v>
      </c>
      <c r="G220" s="7" t="s">
        <v>12</v>
      </c>
    </row>
    <row r="221" ht="22.5" customHeight="1">
      <c r="A221" s="4">
        <v>46134.0</v>
      </c>
      <c r="B221" s="4"/>
      <c r="C221" s="5" t="s">
        <v>215</v>
      </c>
      <c r="D221" s="6">
        <v>20995.0</v>
      </c>
      <c r="E221" s="5" t="s">
        <v>10</v>
      </c>
      <c r="F221" s="5" t="s">
        <v>125</v>
      </c>
      <c r="G221" s="7" t="s">
        <v>12</v>
      </c>
    </row>
    <row r="222" ht="22.5" customHeight="1">
      <c r="A222" s="4">
        <v>46134.0</v>
      </c>
      <c r="B222" s="4"/>
      <c r="C222" s="5" t="s">
        <v>216</v>
      </c>
      <c r="D222" s="6">
        <v>44548.0</v>
      </c>
      <c r="E222" s="5" t="s">
        <v>10</v>
      </c>
      <c r="F222" s="5" t="s">
        <v>39</v>
      </c>
      <c r="G222" s="7" t="s">
        <v>12</v>
      </c>
    </row>
    <row r="223" ht="22.5" customHeight="1">
      <c r="A223" s="4">
        <v>46134.0</v>
      </c>
      <c r="B223" s="4"/>
      <c r="C223" s="5" t="s">
        <v>216</v>
      </c>
      <c r="D223" s="6">
        <v>66332.0</v>
      </c>
      <c r="E223" s="5" t="s">
        <v>10</v>
      </c>
      <c r="F223" s="5" t="s">
        <v>39</v>
      </c>
      <c r="G223" s="7" t="s">
        <v>12</v>
      </c>
    </row>
    <row r="224" ht="22.5" customHeight="1">
      <c r="A224" s="4">
        <v>46134.0</v>
      </c>
      <c r="B224" s="4"/>
      <c r="C224" s="5" t="s">
        <v>119</v>
      </c>
      <c r="D224" s="6">
        <v>4675.46</v>
      </c>
      <c r="E224" s="5" t="s">
        <v>10</v>
      </c>
      <c r="F224" s="5" t="s">
        <v>120</v>
      </c>
      <c r="G224" s="7" t="s">
        <v>12</v>
      </c>
    </row>
    <row r="225" ht="22.5" customHeight="1">
      <c r="A225" s="4">
        <v>46134.0</v>
      </c>
      <c r="B225" s="4"/>
      <c r="C225" s="5" t="s">
        <v>161</v>
      </c>
      <c r="D225" s="6">
        <v>3303.56</v>
      </c>
      <c r="E225" s="5" t="s">
        <v>10</v>
      </c>
      <c r="F225" s="5" t="s">
        <v>120</v>
      </c>
      <c r="G225" s="7" t="s">
        <v>12</v>
      </c>
    </row>
    <row r="226" ht="22.5" customHeight="1">
      <c r="A226" s="4">
        <v>46134.0</v>
      </c>
      <c r="B226" s="4"/>
      <c r="C226" s="5" t="s">
        <v>216</v>
      </c>
      <c r="D226" s="6">
        <v>62118.0</v>
      </c>
      <c r="E226" s="5" t="s">
        <v>10</v>
      </c>
      <c r="F226" s="5" t="s">
        <v>39</v>
      </c>
      <c r="G226" s="7" t="s">
        <v>12</v>
      </c>
    </row>
    <row r="227" ht="22.5" customHeight="1">
      <c r="A227" s="4">
        <v>46134.0</v>
      </c>
      <c r="B227" s="4"/>
      <c r="C227" s="5" t="s">
        <v>216</v>
      </c>
      <c r="D227" s="6">
        <v>98938.0</v>
      </c>
      <c r="E227" s="5" t="s">
        <v>10</v>
      </c>
      <c r="F227" s="5" t="s">
        <v>39</v>
      </c>
      <c r="G227" s="7" t="s">
        <v>12</v>
      </c>
    </row>
    <row r="228" ht="22.5" customHeight="1">
      <c r="A228" s="4">
        <v>46134.0</v>
      </c>
      <c r="B228" s="4"/>
      <c r="C228" s="5" t="s">
        <v>57</v>
      </c>
      <c r="D228" s="6">
        <v>436683.63</v>
      </c>
      <c r="E228" s="5" t="s">
        <v>58</v>
      </c>
      <c r="F228" s="5" t="s">
        <v>59</v>
      </c>
      <c r="G228" s="7" t="s">
        <v>12</v>
      </c>
    </row>
    <row r="229" ht="22.5" customHeight="1">
      <c r="A229" s="4">
        <v>46134.0</v>
      </c>
      <c r="B229" s="4"/>
      <c r="C229" s="5" t="s">
        <v>217</v>
      </c>
      <c r="D229" s="6">
        <v>19198.07</v>
      </c>
      <c r="E229" s="5" t="s">
        <v>10</v>
      </c>
      <c r="F229" s="5" t="s">
        <v>20</v>
      </c>
      <c r="G229" s="7" t="s">
        <v>12</v>
      </c>
    </row>
    <row r="230" ht="22.5" customHeight="1">
      <c r="A230" s="4">
        <v>46134.0</v>
      </c>
      <c r="B230" s="4"/>
      <c r="C230" s="5" t="s">
        <v>51</v>
      </c>
      <c r="D230" s="6">
        <v>50000.0</v>
      </c>
      <c r="E230" s="5" t="s">
        <v>10</v>
      </c>
      <c r="F230" s="5" t="s">
        <v>52</v>
      </c>
      <c r="G230" s="7" t="s">
        <v>12</v>
      </c>
    </row>
    <row r="231" ht="22.5" customHeight="1">
      <c r="A231" s="4">
        <v>46134.0</v>
      </c>
      <c r="B231" s="4"/>
      <c r="C231" s="5" t="s">
        <v>216</v>
      </c>
      <c r="D231" s="6">
        <v>52514.0</v>
      </c>
      <c r="E231" s="5" t="s">
        <v>10</v>
      </c>
      <c r="F231" s="5" t="s">
        <v>39</v>
      </c>
      <c r="G231" s="7" t="s">
        <v>12</v>
      </c>
    </row>
    <row r="232" ht="22.5" customHeight="1">
      <c r="A232" s="4">
        <v>46134.0</v>
      </c>
      <c r="B232" s="4"/>
      <c r="C232" s="5" t="s">
        <v>216</v>
      </c>
      <c r="D232" s="6">
        <v>29778.0</v>
      </c>
      <c r="E232" s="5" t="s">
        <v>10</v>
      </c>
      <c r="F232" s="5" t="s">
        <v>39</v>
      </c>
      <c r="G232" s="7" t="s">
        <v>12</v>
      </c>
    </row>
    <row r="233" ht="22.5" customHeight="1">
      <c r="A233" s="4">
        <v>46134.0</v>
      </c>
      <c r="B233" s="4"/>
      <c r="C233" s="5" t="s">
        <v>216</v>
      </c>
      <c r="D233" s="6">
        <v>10822.0</v>
      </c>
      <c r="E233" s="5" t="s">
        <v>10</v>
      </c>
      <c r="F233" s="5" t="s">
        <v>39</v>
      </c>
      <c r="G233" s="7" t="s">
        <v>12</v>
      </c>
    </row>
    <row r="234" ht="22.5" customHeight="1">
      <c r="A234" s="4">
        <v>46134.0</v>
      </c>
      <c r="B234" s="4"/>
      <c r="C234" s="5" t="s">
        <v>71</v>
      </c>
      <c r="D234" s="6">
        <v>22672.06</v>
      </c>
      <c r="E234" s="5" t="s">
        <v>10</v>
      </c>
      <c r="F234" s="5" t="s">
        <v>14</v>
      </c>
      <c r="G234" s="7" t="s">
        <v>12</v>
      </c>
    </row>
    <row r="235" ht="22.5" customHeight="1">
      <c r="A235" s="4">
        <v>46136.0</v>
      </c>
      <c r="B235" s="4"/>
      <c r="C235" s="5" t="s">
        <v>185</v>
      </c>
      <c r="D235" s="6">
        <v>12072.97</v>
      </c>
      <c r="E235" s="5" t="s">
        <v>10</v>
      </c>
      <c r="F235" s="5" t="s">
        <v>28</v>
      </c>
      <c r="G235" s="7" t="s">
        <v>18</v>
      </c>
    </row>
    <row r="236" ht="22.5" customHeight="1">
      <c r="A236" s="4">
        <v>46136.0</v>
      </c>
      <c r="B236" s="4"/>
      <c r="C236" s="5" t="s">
        <v>218</v>
      </c>
      <c r="D236" s="6">
        <v>6000.0</v>
      </c>
      <c r="E236" s="5" t="s">
        <v>10</v>
      </c>
      <c r="F236" s="5" t="s">
        <v>31</v>
      </c>
      <c r="G236" s="7" t="s">
        <v>18</v>
      </c>
    </row>
    <row r="237" ht="22.5" customHeight="1">
      <c r="A237" s="4">
        <v>46137.0</v>
      </c>
      <c r="B237" s="4"/>
      <c r="C237" s="5" t="s">
        <v>219</v>
      </c>
      <c r="D237" s="6">
        <v>8700.0</v>
      </c>
      <c r="E237" s="5" t="s">
        <v>10</v>
      </c>
      <c r="F237" s="5" t="s">
        <v>31</v>
      </c>
      <c r="G237" s="10" t="s">
        <v>29</v>
      </c>
    </row>
    <row r="238" ht="22.5" customHeight="1">
      <c r="A238" s="4">
        <v>46137.0</v>
      </c>
      <c r="B238" s="4"/>
      <c r="C238" s="5" t="s">
        <v>220</v>
      </c>
      <c r="D238" s="6">
        <v>2800.0</v>
      </c>
      <c r="E238" s="5" t="s">
        <v>10</v>
      </c>
      <c r="F238" s="5" t="s">
        <v>31</v>
      </c>
      <c r="G238" s="7" t="s">
        <v>18</v>
      </c>
    </row>
    <row r="239" ht="22.5" customHeight="1">
      <c r="A239" s="4">
        <v>46140.0</v>
      </c>
      <c r="B239" s="4"/>
      <c r="C239" s="5" t="s">
        <v>76</v>
      </c>
      <c r="D239" s="6">
        <v>4559.66</v>
      </c>
      <c r="E239" s="5" t="s">
        <v>10</v>
      </c>
      <c r="F239" s="5" t="s">
        <v>77</v>
      </c>
      <c r="G239" s="7" t="s">
        <v>78</v>
      </c>
    </row>
    <row r="240" ht="22.5" customHeight="1">
      <c r="A240" s="4">
        <v>46140.0</v>
      </c>
      <c r="B240" s="4"/>
      <c r="C240" s="5" t="s">
        <v>79</v>
      </c>
      <c r="D240" s="6">
        <v>45851.61</v>
      </c>
      <c r="E240" s="5" t="s">
        <v>10</v>
      </c>
      <c r="F240" s="5" t="s">
        <v>25</v>
      </c>
      <c r="G240" s="7" t="s">
        <v>78</v>
      </c>
    </row>
    <row r="241" ht="22.5" customHeight="1">
      <c r="A241" s="4">
        <v>46140.0</v>
      </c>
      <c r="B241" s="4"/>
      <c r="C241" s="5" t="s">
        <v>80</v>
      </c>
      <c r="D241" s="6">
        <v>17910.31</v>
      </c>
      <c r="E241" s="5" t="s">
        <v>10</v>
      </c>
      <c r="F241" s="5" t="s">
        <v>25</v>
      </c>
      <c r="G241" s="7" t="s">
        <v>78</v>
      </c>
    </row>
    <row r="242" ht="22.5" customHeight="1">
      <c r="A242" s="4">
        <v>46140.0</v>
      </c>
      <c r="B242" s="4"/>
      <c r="C242" s="5" t="s">
        <v>81</v>
      </c>
      <c r="D242" s="6">
        <v>61964.76</v>
      </c>
      <c r="E242" s="5" t="s">
        <v>58</v>
      </c>
      <c r="F242" s="5" t="s">
        <v>59</v>
      </c>
      <c r="G242" s="7" t="s">
        <v>78</v>
      </c>
    </row>
    <row r="243" ht="22.5" customHeight="1">
      <c r="A243" s="11">
        <v>46142.0</v>
      </c>
      <c r="B243" s="12" t="s">
        <v>221</v>
      </c>
      <c r="C243" s="8" t="s">
        <v>222</v>
      </c>
      <c r="D243" s="13">
        <v>127600.0</v>
      </c>
      <c r="E243" s="8" t="s">
        <v>34</v>
      </c>
      <c r="F243" s="8" t="s">
        <v>35</v>
      </c>
      <c r="G243" s="10" t="s">
        <v>83</v>
      </c>
      <c r="H243" s="14">
        <v>1416.0</v>
      </c>
      <c r="I243" s="14">
        <v>90.11299435028249</v>
      </c>
    </row>
    <row r="244" ht="22.5" customHeight="1">
      <c r="A244" s="4">
        <v>46146.0</v>
      </c>
      <c r="B244" s="4"/>
      <c r="C244" s="5" t="s">
        <v>223</v>
      </c>
      <c r="D244" s="6">
        <v>2797.54</v>
      </c>
      <c r="E244" s="5" t="s">
        <v>10</v>
      </c>
      <c r="F244" s="5" t="s">
        <v>31</v>
      </c>
      <c r="G244" s="7" t="s">
        <v>12</v>
      </c>
    </row>
    <row r="245" ht="22.5" customHeight="1">
      <c r="A245" s="4">
        <v>46146.0</v>
      </c>
      <c r="B245" s="4"/>
      <c r="C245" s="5" t="s">
        <v>224</v>
      </c>
      <c r="D245" s="6">
        <v>1176.68</v>
      </c>
      <c r="E245" s="5" t="s">
        <v>10</v>
      </c>
      <c r="F245" s="5" t="s">
        <v>31</v>
      </c>
      <c r="G245" s="7" t="s">
        <v>12</v>
      </c>
    </row>
    <row r="246" ht="22.5" customHeight="1">
      <c r="A246" s="4">
        <v>46146.0</v>
      </c>
      <c r="B246" s="4"/>
      <c r="C246" s="5" t="s">
        <v>225</v>
      </c>
      <c r="D246" s="6">
        <v>7273.8</v>
      </c>
      <c r="E246" s="5" t="s">
        <v>10</v>
      </c>
      <c r="F246" s="5" t="s">
        <v>11</v>
      </c>
      <c r="G246" s="7" t="s">
        <v>12</v>
      </c>
    </row>
    <row r="247" ht="22.5" customHeight="1">
      <c r="A247" s="4">
        <v>46146.0</v>
      </c>
      <c r="B247" s="4"/>
      <c r="C247" s="5" t="s">
        <v>226</v>
      </c>
      <c r="D247" s="6">
        <v>2146.59</v>
      </c>
      <c r="E247" s="5" t="s">
        <v>10</v>
      </c>
      <c r="F247" s="5" t="s">
        <v>11</v>
      </c>
      <c r="G247" s="7" t="s">
        <v>12</v>
      </c>
    </row>
    <row r="248" ht="22.5" customHeight="1">
      <c r="A248" s="4">
        <v>46146.0</v>
      </c>
      <c r="B248" s="4"/>
      <c r="C248" s="5" t="s">
        <v>227</v>
      </c>
      <c r="D248" s="6">
        <v>3951.91</v>
      </c>
      <c r="E248" s="5" t="s">
        <v>10</v>
      </c>
      <c r="F248" s="5" t="s">
        <v>31</v>
      </c>
      <c r="G248" s="7" t="s">
        <v>12</v>
      </c>
    </row>
    <row r="249" ht="22.5" customHeight="1">
      <c r="A249" s="4">
        <v>46146.0</v>
      </c>
      <c r="B249" s="4"/>
      <c r="C249" s="5" t="s">
        <v>228</v>
      </c>
      <c r="D249" s="6">
        <v>1827.59</v>
      </c>
      <c r="E249" s="5" t="s">
        <v>10</v>
      </c>
      <c r="F249" s="5" t="s">
        <v>11</v>
      </c>
      <c r="G249" s="7" t="s">
        <v>12</v>
      </c>
    </row>
    <row r="250" ht="22.5" customHeight="1">
      <c r="A250" s="4">
        <v>46146.0</v>
      </c>
      <c r="B250" s="4"/>
      <c r="C250" s="5" t="s">
        <v>229</v>
      </c>
      <c r="D250" s="6">
        <v>2229.46</v>
      </c>
      <c r="E250" s="5" t="s">
        <v>10</v>
      </c>
      <c r="F250" s="5" t="s">
        <v>31</v>
      </c>
      <c r="G250" s="7" t="s">
        <v>12</v>
      </c>
    </row>
    <row r="251" ht="22.5" customHeight="1">
      <c r="A251" s="4">
        <v>46146.0</v>
      </c>
      <c r="B251" s="4"/>
      <c r="C251" s="5" t="s">
        <v>230</v>
      </c>
      <c r="D251" s="6">
        <v>2923.81</v>
      </c>
      <c r="E251" s="5" t="s">
        <v>10</v>
      </c>
      <c r="F251" s="5" t="s">
        <v>31</v>
      </c>
      <c r="G251" s="7" t="s">
        <v>12</v>
      </c>
    </row>
    <row r="252" ht="22.5" customHeight="1">
      <c r="A252" s="4">
        <v>46146.0</v>
      </c>
      <c r="B252" s="4"/>
      <c r="C252" s="5" t="s">
        <v>231</v>
      </c>
      <c r="D252" s="6">
        <v>5615.65</v>
      </c>
      <c r="E252" s="5" t="s">
        <v>10</v>
      </c>
      <c r="F252" s="5" t="s">
        <v>31</v>
      </c>
      <c r="G252" s="7" t="s">
        <v>12</v>
      </c>
    </row>
    <row r="253" ht="22.5" customHeight="1">
      <c r="A253" s="4">
        <v>46146.0</v>
      </c>
      <c r="B253" s="4"/>
      <c r="C253" s="5" t="s">
        <v>232</v>
      </c>
      <c r="D253" s="6">
        <v>1862.48</v>
      </c>
      <c r="E253" s="5" t="s">
        <v>10</v>
      </c>
      <c r="F253" s="5" t="s">
        <v>31</v>
      </c>
      <c r="G253" s="7" t="s">
        <v>12</v>
      </c>
    </row>
    <row r="254" ht="22.5" customHeight="1">
      <c r="A254" s="4">
        <v>46146.0</v>
      </c>
      <c r="B254" s="4"/>
      <c r="C254" s="5" t="s">
        <v>233</v>
      </c>
      <c r="D254" s="6">
        <v>12600.0</v>
      </c>
      <c r="E254" s="5" t="s">
        <v>34</v>
      </c>
      <c r="F254" s="5" t="s">
        <v>157</v>
      </c>
      <c r="G254" s="7" t="s">
        <v>12</v>
      </c>
    </row>
    <row r="255" ht="22.5" customHeight="1">
      <c r="A255" s="4">
        <v>46146.0</v>
      </c>
      <c r="B255" s="4"/>
      <c r="C255" s="5" t="s">
        <v>234</v>
      </c>
      <c r="D255" s="6">
        <v>7332.67</v>
      </c>
      <c r="E255" s="5" t="s">
        <v>34</v>
      </c>
      <c r="F255" s="5" t="s">
        <v>157</v>
      </c>
      <c r="G255" s="7" t="s">
        <v>12</v>
      </c>
    </row>
    <row r="256" ht="22.5" customHeight="1">
      <c r="A256" s="4">
        <v>46146.0</v>
      </c>
      <c r="B256" s="4"/>
      <c r="C256" s="5" t="s">
        <v>235</v>
      </c>
      <c r="D256" s="6">
        <v>43780.5</v>
      </c>
      <c r="E256" s="5" t="s">
        <v>34</v>
      </c>
      <c r="F256" s="5" t="s">
        <v>157</v>
      </c>
      <c r="G256" s="7" t="s">
        <v>12</v>
      </c>
    </row>
    <row r="257" ht="22.5" customHeight="1">
      <c r="A257" s="4">
        <v>46146.0</v>
      </c>
      <c r="B257" s="4"/>
      <c r="C257" s="5" t="s">
        <v>236</v>
      </c>
      <c r="D257" s="6">
        <v>37604.0</v>
      </c>
      <c r="E257" s="5" t="s">
        <v>34</v>
      </c>
      <c r="F257" s="5" t="s">
        <v>157</v>
      </c>
      <c r="G257" s="7" t="s">
        <v>12</v>
      </c>
    </row>
    <row r="258" ht="22.5" customHeight="1">
      <c r="A258" s="4">
        <v>46146.0</v>
      </c>
      <c r="B258" s="4"/>
      <c r="C258" s="5" t="s">
        <v>237</v>
      </c>
      <c r="D258" s="6">
        <v>29933.58</v>
      </c>
      <c r="E258" s="5" t="s">
        <v>34</v>
      </c>
      <c r="F258" s="5" t="s">
        <v>157</v>
      </c>
      <c r="G258" s="7" t="s">
        <v>12</v>
      </c>
    </row>
    <row r="259" ht="22.5" customHeight="1">
      <c r="A259" s="4">
        <v>46146.0</v>
      </c>
      <c r="B259" s="4"/>
      <c r="C259" s="5" t="s">
        <v>238</v>
      </c>
      <c r="D259" s="6">
        <f>13860.5/3</f>
        <v>4620.166667</v>
      </c>
      <c r="E259" s="8" t="s">
        <v>65</v>
      </c>
      <c r="F259" s="8" t="s">
        <v>66</v>
      </c>
      <c r="G259" s="7" t="s">
        <v>12</v>
      </c>
    </row>
    <row r="260" ht="22.5" customHeight="1">
      <c r="A260" s="4">
        <v>46146.0</v>
      </c>
      <c r="B260" s="4"/>
      <c r="C260" s="5" t="s">
        <v>239</v>
      </c>
      <c r="D260" s="6">
        <f>11990*2/3</f>
        <v>7993.333333</v>
      </c>
      <c r="E260" s="5" t="s">
        <v>34</v>
      </c>
      <c r="F260" s="5" t="s">
        <v>157</v>
      </c>
      <c r="G260" s="7" t="s">
        <v>12</v>
      </c>
    </row>
    <row r="261" ht="22.5" customHeight="1">
      <c r="A261" s="4">
        <v>46146.0</v>
      </c>
      <c r="B261" s="4"/>
      <c r="C261" s="5" t="s">
        <v>240</v>
      </c>
      <c r="D261" s="6">
        <f>20000/3</f>
        <v>6666.666667</v>
      </c>
      <c r="E261" s="5" t="s">
        <v>10</v>
      </c>
      <c r="F261" s="5" t="s">
        <v>69</v>
      </c>
      <c r="G261" s="7" t="s">
        <v>12</v>
      </c>
    </row>
    <row r="262" ht="22.5" customHeight="1">
      <c r="A262" s="4">
        <v>46146.0</v>
      </c>
      <c r="B262" s="4"/>
      <c r="C262" s="5" t="s">
        <v>241</v>
      </c>
      <c r="D262" s="6">
        <f>10790.85/3</f>
        <v>3596.95</v>
      </c>
      <c r="E262" s="5" t="s">
        <v>10</v>
      </c>
      <c r="F262" s="8" t="s">
        <v>11</v>
      </c>
      <c r="G262" s="7" t="s">
        <v>12</v>
      </c>
    </row>
    <row r="263" ht="22.5" customHeight="1">
      <c r="A263" s="4">
        <v>46146.0</v>
      </c>
      <c r="B263" s="4"/>
      <c r="C263" s="5" t="s">
        <v>242</v>
      </c>
      <c r="D263" s="6">
        <f>9699</f>
        <v>9699</v>
      </c>
      <c r="E263" s="5" t="s">
        <v>34</v>
      </c>
      <c r="F263" s="5" t="s">
        <v>157</v>
      </c>
      <c r="G263" s="7" t="s">
        <v>12</v>
      </c>
    </row>
    <row r="264" ht="22.5" customHeight="1">
      <c r="A264" s="4">
        <v>46146.0</v>
      </c>
      <c r="B264" s="4"/>
      <c r="C264" s="5" t="s">
        <v>243</v>
      </c>
      <c r="D264" s="6">
        <f>26399.2</f>
        <v>26399.2</v>
      </c>
      <c r="E264" s="5" t="s">
        <v>10</v>
      </c>
      <c r="F264" s="5" t="s">
        <v>69</v>
      </c>
      <c r="G264" s="7" t="s">
        <v>12</v>
      </c>
    </row>
    <row r="265" ht="22.5" customHeight="1">
      <c r="A265" s="4">
        <v>46146.0</v>
      </c>
      <c r="B265" s="4"/>
      <c r="C265" s="5" t="s">
        <v>244</v>
      </c>
      <c r="D265" s="6">
        <v>3508.03</v>
      </c>
      <c r="E265" s="5" t="s">
        <v>10</v>
      </c>
      <c r="F265" s="5" t="s">
        <v>86</v>
      </c>
      <c r="G265" s="7" t="s">
        <v>12</v>
      </c>
    </row>
    <row r="266" ht="22.5" customHeight="1">
      <c r="A266" s="4">
        <v>46146.0</v>
      </c>
      <c r="B266" s="4"/>
      <c r="C266" s="5" t="s">
        <v>152</v>
      </c>
      <c r="D266" s="6">
        <v>2706.44</v>
      </c>
      <c r="E266" s="5" t="s">
        <v>10</v>
      </c>
      <c r="F266" s="5" t="s">
        <v>14</v>
      </c>
      <c r="G266" s="7" t="s">
        <v>12</v>
      </c>
    </row>
    <row r="267" ht="22.5" customHeight="1">
      <c r="A267" s="15"/>
      <c r="B267" s="16"/>
      <c r="C267" s="16"/>
      <c r="D267" s="17"/>
      <c r="E267" s="18"/>
      <c r="F267" s="18"/>
      <c r="G267" s="9"/>
    </row>
    <row r="268" ht="22.5" customHeight="1">
      <c r="A268" s="11"/>
      <c r="D268" s="13"/>
      <c r="E268" s="19"/>
      <c r="F268" s="19"/>
      <c r="G268" s="9"/>
    </row>
    <row r="269" ht="22.5" customHeight="1">
      <c r="A269" s="4"/>
      <c r="D269" s="6"/>
      <c r="E269" s="19"/>
      <c r="F269" s="19"/>
      <c r="G269" s="9"/>
    </row>
    <row r="270" ht="22.5" customHeight="1">
      <c r="A270" s="4"/>
      <c r="D270" s="6"/>
      <c r="E270" s="19"/>
      <c r="F270" s="19"/>
      <c r="G270" s="9"/>
    </row>
    <row r="271" ht="22.5" customHeight="1">
      <c r="A271" s="4"/>
      <c r="D271" s="6"/>
      <c r="E271" s="19"/>
      <c r="F271" s="19"/>
      <c r="G271" s="9"/>
    </row>
    <row r="272" ht="22.5" customHeight="1">
      <c r="A272" s="4"/>
      <c r="D272" s="6"/>
      <c r="E272" s="19"/>
      <c r="F272" s="19"/>
      <c r="G272" s="9"/>
    </row>
    <row r="273" ht="22.5" customHeight="1">
      <c r="A273" s="4"/>
      <c r="D273" s="6"/>
      <c r="E273" s="19"/>
      <c r="F273" s="19"/>
      <c r="G273" s="9"/>
    </row>
    <row r="274" ht="22.5" customHeight="1">
      <c r="A274" s="4"/>
      <c r="D274" s="6"/>
      <c r="E274" s="19"/>
      <c r="F274" s="19"/>
      <c r="G274" s="9"/>
    </row>
    <row r="275" ht="22.5" customHeight="1">
      <c r="A275" s="4"/>
      <c r="D275" s="6"/>
      <c r="E275" s="19"/>
      <c r="F275" s="19"/>
      <c r="G275" s="9"/>
    </row>
    <row r="276" ht="22.5" customHeight="1">
      <c r="A276" s="15"/>
      <c r="B276" s="20"/>
      <c r="C276" s="16"/>
      <c r="D276" s="17"/>
      <c r="E276" s="21"/>
      <c r="F276" s="21"/>
      <c r="G276" s="22"/>
    </row>
    <row r="277" ht="22.5" customHeight="1">
      <c r="A277" s="15"/>
      <c r="B277" s="20"/>
      <c r="C277" s="23"/>
      <c r="D277" s="17"/>
      <c r="E277" s="21"/>
      <c r="F277" s="21"/>
      <c r="G277" s="22"/>
    </row>
    <row r="278" ht="22.5" customHeight="1">
      <c r="A278" s="15"/>
      <c r="B278" s="20"/>
      <c r="D278" s="6"/>
      <c r="E278" s="19"/>
      <c r="F278" s="19"/>
      <c r="G278" s="9"/>
    </row>
    <row r="279" ht="22.5" customHeight="1">
      <c r="A279" s="4"/>
      <c r="D279" s="6"/>
      <c r="E279" s="19"/>
      <c r="F279" s="19"/>
      <c r="G279" s="9"/>
    </row>
    <row r="280" ht="22.5" customHeight="1">
      <c r="A280" s="4"/>
      <c r="C280" s="23"/>
      <c r="D280" s="6"/>
      <c r="E280" s="19"/>
      <c r="F280" s="19"/>
      <c r="G280" s="9"/>
    </row>
    <row r="281" ht="22.5" customHeight="1">
      <c r="A281" s="4"/>
      <c r="D281" s="6"/>
      <c r="E281" s="19"/>
      <c r="F281" s="19"/>
      <c r="G281" s="9"/>
    </row>
    <row r="282" ht="22.5" customHeight="1">
      <c r="A282" s="4"/>
      <c r="D282" s="6"/>
      <c r="E282" s="19"/>
      <c r="F282" s="19"/>
      <c r="G282" s="9"/>
    </row>
    <row r="283" ht="22.5" customHeight="1">
      <c r="A283" s="4"/>
      <c r="D283" s="6"/>
      <c r="E283" s="19"/>
      <c r="F283" s="19"/>
      <c r="G283" s="9"/>
    </row>
    <row r="284" ht="22.5" customHeight="1">
      <c r="A284" s="15"/>
      <c r="B284" s="20"/>
      <c r="C284" s="16"/>
      <c r="D284" s="17"/>
      <c r="E284" s="21"/>
      <c r="F284" s="21"/>
      <c r="G284" s="24"/>
    </row>
    <row r="285" ht="22.5" customHeight="1">
      <c r="A285" s="4"/>
      <c r="D285" s="6"/>
      <c r="E285" s="19"/>
      <c r="F285" s="19"/>
      <c r="G285" s="9"/>
    </row>
    <row r="286" ht="22.5" customHeight="1">
      <c r="A286" s="11"/>
      <c r="B286" s="25"/>
      <c r="D286" s="13"/>
      <c r="E286" s="19"/>
      <c r="F286" s="19"/>
      <c r="G286" s="9"/>
    </row>
    <row r="287" ht="22.5" customHeight="1">
      <c r="A287" s="11"/>
      <c r="B287" s="25"/>
      <c r="D287" s="6"/>
      <c r="E287" s="19"/>
      <c r="F287" s="19"/>
      <c r="G287" s="9"/>
    </row>
    <row r="288" ht="22.5" customHeight="1">
      <c r="A288" s="4"/>
      <c r="D288" s="6"/>
      <c r="E288" s="19"/>
      <c r="F288" s="19"/>
      <c r="G288" s="9"/>
    </row>
    <row r="289" ht="22.5" customHeight="1">
      <c r="A289" s="4"/>
      <c r="D289" s="6"/>
      <c r="E289" s="19"/>
      <c r="F289" s="19"/>
      <c r="G289" s="9"/>
    </row>
    <row r="290" ht="22.5" customHeight="1">
      <c r="A290" s="4"/>
      <c r="D290" s="6"/>
      <c r="E290" s="19"/>
      <c r="F290" s="19"/>
      <c r="G290" s="9"/>
    </row>
    <row r="291" ht="22.5" customHeight="1">
      <c r="A291" s="4"/>
      <c r="D291" s="6"/>
      <c r="E291" s="19"/>
      <c r="F291" s="19"/>
      <c r="G291" s="9"/>
    </row>
    <row r="292" ht="22.5" customHeight="1">
      <c r="A292" s="4"/>
      <c r="D292" s="6"/>
      <c r="E292" s="19"/>
      <c r="F292" s="19"/>
      <c r="G292" s="9"/>
    </row>
    <row r="293" ht="22.5" customHeight="1">
      <c r="A293" s="4"/>
      <c r="D293" s="6"/>
      <c r="E293" s="19"/>
      <c r="F293" s="19"/>
      <c r="G293" s="9"/>
    </row>
    <row r="294" ht="22.5" customHeight="1">
      <c r="A294" s="4"/>
      <c r="D294" s="6"/>
      <c r="E294" s="19"/>
      <c r="F294" s="19"/>
      <c r="G294" s="9"/>
    </row>
    <row r="295" ht="22.5" customHeight="1">
      <c r="A295" s="4"/>
      <c r="D295" s="6"/>
      <c r="E295" s="19"/>
      <c r="F295" s="19"/>
      <c r="G295" s="9"/>
    </row>
    <row r="296" ht="22.5" customHeight="1">
      <c r="A296" s="4"/>
      <c r="D296" s="6"/>
      <c r="E296" s="19"/>
      <c r="F296" s="19"/>
      <c r="G296" s="9"/>
    </row>
    <row r="297" ht="22.5" customHeight="1">
      <c r="A297" s="4"/>
      <c r="D297" s="6"/>
      <c r="E297" s="19"/>
      <c r="F297" s="19"/>
      <c r="G297" s="9"/>
    </row>
    <row r="298" ht="22.5" customHeight="1">
      <c r="A298" s="4"/>
      <c r="D298" s="6"/>
      <c r="E298" s="19"/>
      <c r="F298" s="19"/>
      <c r="G298" s="9"/>
    </row>
    <row r="299" ht="22.5" customHeight="1">
      <c r="A299" s="4"/>
      <c r="D299" s="6"/>
      <c r="E299" s="19"/>
      <c r="F299" s="19"/>
      <c r="G299" s="9"/>
    </row>
    <row r="300" ht="22.5" customHeight="1">
      <c r="A300" s="4"/>
      <c r="D300" s="6"/>
      <c r="E300" s="19"/>
      <c r="F300" s="19"/>
      <c r="G300" s="9"/>
    </row>
    <row r="301" ht="22.5" customHeight="1">
      <c r="A301" s="4"/>
      <c r="D301" s="6"/>
      <c r="E301" s="19"/>
      <c r="F301" s="19"/>
      <c r="G301" s="9"/>
    </row>
    <row r="302" ht="22.5" customHeight="1">
      <c r="A302" s="4"/>
      <c r="D302" s="6"/>
      <c r="E302" s="19"/>
      <c r="F302" s="19"/>
      <c r="G302" s="9"/>
    </row>
    <row r="303" ht="22.5" customHeight="1">
      <c r="A303" s="4"/>
      <c r="D303" s="6"/>
      <c r="E303" s="19"/>
      <c r="F303" s="19"/>
      <c r="G303" s="9"/>
    </row>
    <row r="304" ht="22.5" customHeight="1">
      <c r="A304" s="4"/>
      <c r="D304" s="6"/>
      <c r="E304" s="19"/>
      <c r="F304" s="19"/>
      <c r="G304" s="9"/>
    </row>
    <row r="305" ht="22.5" customHeight="1">
      <c r="A305" s="4"/>
      <c r="D305" s="6"/>
      <c r="E305" s="19"/>
      <c r="F305" s="19"/>
      <c r="G305" s="9"/>
    </row>
    <row r="306" ht="22.5" customHeight="1">
      <c r="A306" s="4"/>
      <c r="D306" s="6"/>
      <c r="E306" s="19"/>
      <c r="F306" s="19"/>
      <c r="G306" s="9"/>
    </row>
    <row r="307" ht="22.5" customHeight="1">
      <c r="A307" s="4"/>
      <c r="D307" s="6"/>
      <c r="E307" s="19"/>
      <c r="F307" s="19"/>
      <c r="G307" s="9"/>
    </row>
    <row r="308" ht="22.5" customHeight="1">
      <c r="A308" s="4"/>
      <c r="D308" s="6"/>
      <c r="E308" s="19"/>
      <c r="F308" s="19"/>
      <c r="G308" s="9"/>
    </row>
    <row r="309" ht="22.5" customHeight="1">
      <c r="A309" s="4"/>
      <c r="D309" s="6"/>
      <c r="E309" s="19"/>
      <c r="F309" s="19"/>
      <c r="G309" s="9"/>
    </row>
    <row r="310" ht="22.5" customHeight="1">
      <c r="A310" s="4"/>
      <c r="D310" s="6"/>
      <c r="E310" s="19"/>
      <c r="F310" s="19"/>
      <c r="G310" s="9"/>
    </row>
    <row r="311" ht="22.5" customHeight="1">
      <c r="A311" s="4"/>
      <c r="D311" s="6"/>
      <c r="E311" s="19"/>
      <c r="F311" s="19"/>
      <c r="G311" s="9"/>
    </row>
    <row r="312" ht="22.5" customHeight="1">
      <c r="A312" s="4"/>
      <c r="D312" s="6"/>
      <c r="E312" s="19"/>
      <c r="F312" s="19"/>
      <c r="G312" s="9"/>
    </row>
    <row r="313" ht="22.5" customHeight="1">
      <c r="A313" s="4"/>
      <c r="D313" s="6"/>
      <c r="E313" s="19"/>
      <c r="F313" s="19"/>
      <c r="G313" s="9"/>
    </row>
    <row r="314" ht="22.5" customHeight="1">
      <c r="A314" s="4"/>
      <c r="D314" s="6"/>
      <c r="E314" s="19"/>
      <c r="F314" s="19"/>
      <c r="G314" s="9"/>
    </row>
    <row r="315" ht="22.5" customHeight="1">
      <c r="A315" s="4"/>
      <c r="D315" s="6"/>
      <c r="E315" s="19"/>
      <c r="F315" s="19"/>
      <c r="G315" s="9"/>
    </row>
    <row r="316" ht="22.5" customHeight="1">
      <c r="A316" s="4"/>
      <c r="D316" s="6"/>
      <c r="E316" s="19"/>
      <c r="F316" s="19"/>
      <c r="G316" s="9"/>
    </row>
    <row r="317" ht="22.5" customHeight="1">
      <c r="A317" s="4"/>
      <c r="D317" s="6"/>
      <c r="E317" s="19"/>
      <c r="F317" s="19"/>
      <c r="G317" s="9"/>
    </row>
    <row r="318" ht="22.5" customHeight="1">
      <c r="A318" s="4"/>
      <c r="D318" s="6"/>
      <c r="E318" s="19"/>
      <c r="F318" s="19"/>
      <c r="G318" s="9"/>
    </row>
    <row r="319" ht="22.5" customHeight="1">
      <c r="A319" s="4"/>
      <c r="D319" s="6"/>
      <c r="E319" s="19"/>
      <c r="F319" s="19"/>
      <c r="G319" s="9"/>
    </row>
    <row r="320" ht="22.5" customHeight="1">
      <c r="A320" s="4"/>
      <c r="D320" s="6"/>
      <c r="E320" s="19"/>
      <c r="F320" s="19"/>
      <c r="G320" s="9"/>
    </row>
    <row r="321" ht="22.5" customHeight="1">
      <c r="A321" s="4"/>
      <c r="D321" s="6"/>
      <c r="E321" s="19"/>
      <c r="F321" s="19"/>
      <c r="G321" s="9"/>
    </row>
    <row r="322" ht="22.5" customHeight="1">
      <c r="A322" s="4"/>
      <c r="D322" s="6"/>
      <c r="E322" s="19"/>
      <c r="F322" s="19"/>
      <c r="G322" s="9"/>
    </row>
    <row r="323" ht="22.5" customHeight="1">
      <c r="A323" s="4"/>
      <c r="D323" s="6"/>
      <c r="E323" s="19"/>
      <c r="F323" s="19"/>
      <c r="G323" s="9"/>
    </row>
    <row r="324" ht="22.5" customHeight="1">
      <c r="A324" s="4"/>
      <c r="D324" s="6"/>
      <c r="E324" s="19"/>
      <c r="F324" s="19"/>
      <c r="G324" s="9"/>
    </row>
    <row r="325" ht="22.5" customHeight="1">
      <c r="A325" s="4"/>
      <c r="D325" s="6"/>
      <c r="E325" s="19"/>
      <c r="F325" s="19"/>
      <c r="G325" s="9"/>
    </row>
    <row r="326" ht="22.5" customHeight="1">
      <c r="A326" s="4"/>
      <c r="D326" s="6"/>
      <c r="E326" s="19"/>
      <c r="F326" s="19"/>
      <c r="G326" s="9"/>
    </row>
    <row r="327" ht="22.5" customHeight="1">
      <c r="A327" s="4"/>
      <c r="D327" s="6"/>
      <c r="E327" s="19"/>
      <c r="F327" s="19"/>
      <c r="G327" s="9"/>
    </row>
    <row r="328" ht="22.5" customHeight="1">
      <c r="A328" s="4"/>
      <c r="D328" s="6"/>
      <c r="E328" s="19"/>
      <c r="F328" s="19"/>
      <c r="G328" s="9"/>
    </row>
    <row r="329" ht="22.5" customHeight="1">
      <c r="A329" s="4"/>
      <c r="D329" s="6"/>
      <c r="E329" s="19"/>
      <c r="F329" s="19"/>
      <c r="G329" s="9"/>
    </row>
    <row r="330" ht="22.5" customHeight="1">
      <c r="A330" s="4"/>
      <c r="D330" s="6"/>
      <c r="E330" s="19"/>
      <c r="F330" s="19"/>
      <c r="G330" s="9"/>
    </row>
    <row r="331" ht="22.5" customHeight="1">
      <c r="A331" s="4"/>
      <c r="D331" s="6"/>
      <c r="E331" s="19"/>
      <c r="F331" s="19"/>
      <c r="G331" s="9"/>
    </row>
    <row r="332" ht="22.5" customHeight="1">
      <c r="A332" s="4"/>
      <c r="D332" s="6"/>
      <c r="E332" s="19"/>
      <c r="F332" s="19"/>
      <c r="G332" s="9"/>
    </row>
    <row r="333" ht="22.5" customHeight="1">
      <c r="A333" s="4"/>
      <c r="D333" s="6"/>
      <c r="E333" s="19"/>
      <c r="F333" s="19"/>
      <c r="G333" s="9"/>
    </row>
    <row r="334" ht="22.5" customHeight="1">
      <c r="A334" s="4"/>
      <c r="D334" s="6"/>
      <c r="E334" s="19"/>
      <c r="F334" s="19"/>
      <c r="G334" s="9"/>
    </row>
    <row r="335" ht="22.5" customHeight="1">
      <c r="A335" s="4"/>
      <c r="D335" s="6"/>
      <c r="E335" s="19"/>
      <c r="F335" s="19"/>
      <c r="G335" s="9"/>
    </row>
    <row r="336" ht="22.5" customHeight="1">
      <c r="A336" s="4"/>
      <c r="D336" s="6"/>
      <c r="E336" s="19"/>
      <c r="F336" s="19"/>
      <c r="G336" s="9"/>
    </row>
    <row r="337" ht="22.5" customHeight="1">
      <c r="A337" s="4"/>
      <c r="D337" s="6"/>
      <c r="E337" s="19"/>
      <c r="F337" s="19"/>
      <c r="G337" s="9"/>
    </row>
    <row r="338" ht="22.5" customHeight="1">
      <c r="A338" s="4"/>
      <c r="D338" s="6"/>
      <c r="E338" s="19"/>
      <c r="F338" s="19"/>
      <c r="G338" s="9"/>
    </row>
    <row r="339" ht="22.5" customHeight="1">
      <c r="A339" s="4"/>
      <c r="D339" s="6"/>
      <c r="E339" s="19"/>
      <c r="F339" s="19"/>
      <c r="G339" s="9"/>
    </row>
    <row r="340" ht="22.5" customHeight="1">
      <c r="A340" s="4"/>
      <c r="D340" s="6"/>
      <c r="E340" s="19"/>
      <c r="F340" s="19"/>
      <c r="G340" s="9"/>
    </row>
    <row r="341" ht="22.5" customHeight="1">
      <c r="A341" s="4"/>
      <c r="D341" s="6"/>
      <c r="E341" s="19"/>
      <c r="F341" s="19"/>
      <c r="G341" s="9"/>
    </row>
    <row r="342" ht="22.5" customHeight="1">
      <c r="A342" s="4"/>
      <c r="D342" s="6"/>
      <c r="E342" s="19"/>
      <c r="F342" s="19"/>
      <c r="G342" s="9"/>
    </row>
    <row r="343" ht="22.5" customHeight="1">
      <c r="A343" s="4"/>
      <c r="D343" s="6"/>
      <c r="E343" s="19"/>
      <c r="F343" s="19"/>
      <c r="G343" s="9"/>
    </row>
    <row r="344" ht="22.5" customHeight="1">
      <c r="A344" s="4"/>
      <c r="D344" s="6"/>
      <c r="E344" s="19"/>
      <c r="F344" s="19"/>
      <c r="G344" s="9"/>
    </row>
    <row r="345" ht="22.5" customHeight="1">
      <c r="A345" s="4"/>
      <c r="D345" s="6"/>
      <c r="E345" s="19"/>
      <c r="F345" s="19"/>
      <c r="G345" s="9"/>
    </row>
    <row r="346" ht="22.5" customHeight="1">
      <c r="A346" s="4"/>
      <c r="D346" s="6"/>
      <c r="E346" s="19"/>
      <c r="F346" s="19"/>
      <c r="G346" s="9"/>
    </row>
    <row r="347" ht="22.5" customHeight="1">
      <c r="A347" s="4"/>
      <c r="D347" s="6"/>
      <c r="E347" s="19"/>
      <c r="F347" s="19"/>
      <c r="G347" s="9"/>
    </row>
    <row r="348" ht="22.5" customHeight="1">
      <c r="A348" s="4"/>
      <c r="D348" s="6"/>
      <c r="E348" s="19"/>
      <c r="F348" s="19"/>
      <c r="G348" s="9"/>
    </row>
    <row r="349" ht="22.5" customHeight="1">
      <c r="A349" s="4"/>
      <c r="D349" s="6"/>
      <c r="E349" s="19"/>
      <c r="F349" s="19"/>
      <c r="G349" s="9"/>
    </row>
    <row r="350" ht="22.5" customHeight="1">
      <c r="A350" s="4"/>
      <c r="D350" s="6"/>
      <c r="E350" s="19"/>
      <c r="F350" s="19"/>
      <c r="G350" s="9"/>
    </row>
    <row r="351" ht="22.5" customHeight="1">
      <c r="A351" s="4"/>
      <c r="D351" s="6"/>
      <c r="E351" s="19"/>
      <c r="F351" s="19"/>
      <c r="G351" s="9"/>
    </row>
    <row r="352" ht="22.5" customHeight="1">
      <c r="A352" s="4"/>
      <c r="D352" s="6"/>
      <c r="E352" s="19"/>
      <c r="F352" s="19"/>
      <c r="G352" s="9"/>
    </row>
    <row r="353" ht="22.5" customHeight="1">
      <c r="A353" s="4"/>
      <c r="D353" s="6"/>
      <c r="E353" s="19"/>
      <c r="F353" s="19"/>
      <c r="G353" s="9"/>
    </row>
    <row r="354" ht="22.5" customHeight="1">
      <c r="A354" s="4"/>
      <c r="D354" s="6"/>
      <c r="E354" s="19"/>
      <c r="F354" s="19"/>
      <c r="G354" s="9"/>
    </row>
    <row r="355" ht="22.5" customHeight="1">
      <c r="A355" s="4"/>
      <c r="D355" s="6"/>
      <c r="E355" s="19"/>
      <c r="F355" s="19"/>
      <c r="G355" s="9"/>
    </row>
    <row r="356" ht="22.5" customHeight="1">
      <c r="A356" s="4"/>
      <c r="D356" s="6"/>
      <c r="E356" s="19"/>
      <c r="F356" s="19"/>
      <c r="G356" s="9"/>
    </row>
    <row r="357" ht="22.5" customHeight="1">
      <c r="A357" s="4"/>
      <c r="D357" s="6"/>
      <c r="E357" s="19"/>
      <c r="F357" s="19"/>
      <c r="G357" s="9"/>
    </row>
    <row r="358" ht="22.5" customHeight="1">
      <c r="A358" s="4"/>
      <c r="D358" s="6"/>
      <c r="E358" s="19"/>
      <c r="F358" s="19"/>
      <c r="G358" s="9"/>
    </row>
    <row r="359" ht="22.5" customHeight="1">
      <c r="A359" s="4"/>
      <c r="D359" s="6"/>
      <c r="E359" s="19"/>
      <c r="F359" s="19"/>
      <c r="G359" s="9"/>
    </row>
    <row r="360" ht="22.5" customHeight="1">
      <c r="A360" s="4"/>
      <c r="D360" s="6"/>
      <c r="E360" s="19"/>
      <c r="F360" s="19"/>
      <c r="G360" s="9"/>
    </row>
    <row r="361" ht="22.5" customHeight="1">
      <c r="A361" s="4"/>
      <c r="D361" s="6"/>
      <c r="E361" s="19"/>
      <c r="F361" s="19"/>
      <c r="G361" s="9"/>
    </row>
    <row r="362" ht="22.5" customHeight="1">
      <c r="A362" s="4"/>
      <c r="D362" s="6"/>
      <c r="E362" s="19"/>
      <c r="F362" s="19"/>
      <c r="G362" s="9"/>
    </row>
    <row r="363" ht="22.5" customHeight="1">
      <c r="A363" s="4"/>
      <c r="D363" s="6"/>
      <c r="E363" s="19"/>
      <c r="F363" s="19"/>
      <c r="G363" s="9"/>
    </row>
    <row r="364" ht="22.5" customHeight="1">
      <c r="A364" s="4"/>
      <c r="D364" s="6"/>
      <c r="E364" s="19"/>
      <c r="F364" s="19"/>
      <c r="G364" s="9"/>
    </row>
    <row r="365" ht="22.5" customHeight="1">
      <c r="A365" s="4"/>
      <c r="D365" s="6"/>
      <c r="E365" s="19"/>
      <c r="F365" s="19"/>
      <c r="G365" s="9"/>
    </row>
    <row r="366" ht="22.5" customHeight="1">
      <c r="A366" s="4"/>
      <c r="D366" s="6"/>
      <c r="E366" s="19"/>
      <c r="F366" s="19"/>
      <c r="G366" s="9"/>
    </row>
    <row r="367" ht="22.5" customHeight="1">
      <c r="A367" s="4"/>
      <c r="D367" s="6"/>
      <c r="E367" s="19"/>
      <c r="F367" s="19"/>
      <c r="G367" s="9"/>
    </row>
    <row r="368" ht="22.5" customHeight="1">
      <c r="A368" s="4"/>
      <c r="D368" s="6"/>
      <c r="E368" s="19"/>
      <c r="F368" s="19"/>
      <c r="G368" s="9"/>
    </row>
    <row r="369" ht="22.5" customHeight="1">
      <c r="A369" s="4"/>
      <c r="D369" s="6"/>
      <c r="E369" s="19"/>
      <c r="F369" s="19"/>
      <c r="G369" s="9"/>
    </row>
    <row r="370" ht="22.5" customHeight="1">
      <c r="A370" s="4"/>
      <c r="D370" s="6"/>
      <c r="E370" s="19"/>
      <c r="F370" s="19"/>
      <c r="G370" s="9"/>
    </row>
    <row r="371" ht="22.5" customHeight="1">
      <c r="A371" s="4"/>
      <c r="D371" s="6"/>
      <c r="E371" s="19"/>
      <c r="F371" s="19"/>
      <c r="G371" s="9"/>
    </row>
    <row r="372" ht="22.5" customHeight="1">
      <c r="A372" s="4"/>
      <c r="D372" s="6"/>
      <c r="E372" s="19"/>
      <c r="F372" s="19"/>
      <c r="G372" s="9"/>
    </row>
    <row r="373" ht="22.5" customHeight="1">
      <c r="A373" s="4"/>
      <c r="D373" s="6"/>
      <c r="E373" s="19"/>
      <c r="F373" s="19"/>
      <c r="G373" s="9"/>
    </row>
    <row r="374" ht="22.5" customHeight="1">
      <c r="A374" s="4"/>
      <c r="D374" s="6"/>
      <c r="E374" s="19"/>
      <c r="F374" s="19"/>
      <c r="G374" s="9"/>
    </row>
    <row r="375" ht="22.5" customHeight="1">
      <c r="A375" s="4"/>
      <c r="D375" s="6"/>
      <c r="E375" s="19"/>
      <c r="F375" s="19"/>
      <c r="G375" s="9"/>
    </row>
    <row r="376" ht="22.5" customHeight="1">
      <c r="A376" s="4"/>
      <c r="D376" s="6"/>
      <c r="E376" s="19"/>
      <c r="F376" s="19"/>
      <c r="G376" s="9"/>
    </row>
    <row r="377" ht="22.5" customHeight="1">
      <c r="A377" s="4"/>
      <c r="D377" s="6"/>
      <c r="E377" s="19"/>
      <c r="F377" s="19"/>
      <c r="G377" s="9"/>
    </row>
    <row r="378" ht="22.5" customHeight="1">
      <c r="A378" s="4"/>
      <c r="D378" s="6"/>
      <c r="E378" s="19"/>
      <c r="F378" s="19"/>
      <c r="G378" s="9"/>
    </row>
    <row r="379" ht="22.5" customHeight="1">
      <c r="A379" s="4"/>
      <c r="D379" s="6"/>
      <c r="E379" s="19"/>
      <c r="F379" s="19"/>
      <c r="G379" s="9"/>
    </row>
    <row r="380" ht="22.5" customHeight="1">
      <c r="A380" s="4"/>
      <c r="D380" s="6"/>
      <c r="E380" s="19"/>
      <c r="F380" s="19"/>
      <c r="G380" s="9"/>
    </row>
    <row r="381" ht="22.5" customHeight="1">
      <c r="A381" s="4"/>
      <c r="D381" s="6"/>
      <c r="E381" s="19"/>
      <c r="F381" s="19"/>
      <c r="G381" s="9"/>
    </row>
    <row r="382" ht="22.5" customHeight="1">
      <c r="A382" s="4"/>
      <c r="D382" s="6"/>
      <c r="E382" s="19"/>
      <c r="F382" s="19"/>
      <c r="G382" s="9"/>
    </row>
    <row r="383" ht="22.5" customHeight="1">
      <c r="A383" s="4"/>
      <c r="D383" s="6"/>
      <c r="E383" s="19"/>
      <c r="F383" s="19"/>
      <c r="G383" s="9"/>
    </row>
    <row r="384" ht="22.5" customHeight="1">
      <c r="A384" s="4"/>
      <c r="D384" s="6"/>
      <c r="E384" s="19"/>
      <c r="F384" s="19"/>
      <c r="G384" s="9"/>
    </row>
    <row r="385" ht="22.5" customHeight="1">
      <c r="A385" s="4"/>
      <c r="D385" s="6"/>
      <c r="E385" s="19"/>
      <c r="F385" s="19"/>
      <c r="G385" s="9"/>
    </row>
    <row r="386" ht="22.5" customHeight="1">
      <c r="A386" s="4"/>
      <c r="D386" s="6"/>
      <c r="E386" s="19"/>
      <c r="F386" s="19"/>
      <c r="G386" s="9"/>
    </row>
    <row r="387" ht="22.5" customHeight="1">
      <c r="A387" s="4"/>
      <c r="D387" s="6"/>
      <c r="E387" s="19"/>
      <c r="F387" s="19"/>
      <c r="G387" s="9"/>
    </row>
    <row r="388" ht="22.5" customHeight="1">
      <c r="A388" s="4"/>
      <c r="D388" s="6"/>
      <c r="E388" s="19"/>
      <c r="F388" s="19"/>
      <c r="G388" s="9"/>
    </row>
    <row r="389" ht="22.5" customHeight="1">
      <c r="A389" s="4"/>
      <c r="D389" s="6"/>
      <c r="E389" s="19"/>
      <c r="F389" s="19"/>
      <c r="G389" s="9"/>
    </row>
    <row r="390" ht="22.5" customHeight="1">
      <c r="A390" s="4"/>
      <c r="D390" s="6"/>
      <c r="E390" s="19"/>
      <c r="F390" s="19"/>
      <c r="G390" s="9"/>
    </row>
    <row r="391" ht="22.5" customHeight="1">
      <c r="A391" s="4"/>
      <c r="D391" s="6"/>
      <c r="E391" s="19"/>
      <c r="F391" s="19"/>
      <c r="G391" s="9"/>
    </row>
    <row r="392" ht="22.5" customHeight="1">
      <c r="A392" s="4"/>
      <c r="D392" s="6"/>
      <c r="E392" s="19"/>
      <c r="F392" s="19"/>
      <c r="G392" s="9"/>
    </row>
    <row r="393" ht="22.5" customHeight="1">
      <c r="A393" s="4"/>
      <c r="D393" s="6"/>
      <c r="E393" s="19"/>
      <c r="F393" s="19"/>
      <c r="G393" s="9"/>
    </row>
    <row r="394" ht="22.5" customHeight="1">
      <c r="A394" s="4"/>
      <c r="D394" s="6"/>
      <c r="E394" s="19"/>
      <c r="F394" s="19"/>
      <c r="G394" s="9"/>
    </row>
    <row r="395" ht="22.5" customHeight="1">
      <c r="A395" s="4"/>
      <c r="D395" s="6"/>
      <c r="E395" s="19"/>
      <c r="F395" s="19"/>
      <c r="G395" s="9"/>
    </row>
    <row r="396" ht="22.5" customHeight="1">
      <c r="A396" s="4"/>
      <c r="D396" s="6"/>
      <c r="E396" s="19"/>
      <c r="F396" s="19"/>
      <c r="G396" s="9"/>
    </row>
    <row r="397" ht="22.5" customHeight="1">
      <c r="A397" s="4"/>
      <c r="D397" s="6"/>
      <c r="E397" s="19"/>
      <c r="F397" s="19"/>
      <c r="G397" s="9"/>
    </row>
    <row r="398" ht="22.5" customHeight="1">
      <c r="A398" s="4"/>
      <c r="D398" s="6"/>
      <c r="E398" s="19"/>
      <c r="F398" s="19"/>
      <c r="G398" s="9"/>
    </row>
    <row r="399" ht="22.5" customHeight="1">
      <c r="A399" s="4"/>
      <c r="D399" s="6"/>
      <c r="E399" s="19"/>
      <c r="F399" s="19"/>
      <c r="G399" s="9"/>
    </row>
    <row r="400" ht="22.5" customHeight="1">
      <c r="A400" s="4"/>
      <c r="D400" s="6"/>
      <c r="E400" s="19"/>
      <c r="F400" s="19"/>
      <c r="G400" s="9"/>
    </row>
    <row r="401" ht="22.5" customHeight="1">
      <c r="A401" s="4"/>
      <c r="D401" s="6"/>
      <c r="E401" s="19"/>
      <c r="F401" s="19"/>
      <c r="G401" s="9"/>
    </row>
    <row r="402" ht="22.5" customHeight="1">
      <c r="A402" s="4"/>
      <c r="D402" s="6"/>
      <c r="E402" s="19"/>
      <c r="F402" s="19"/>
      <c r="G402" s="9"/>
    </row>
    <row r="403" ht="22.5" customHeight="1">
      <c r="A403" s="4"/>
      <c r="D403" s="6"/>
      <c r="E403" s="19"/>
      <c r="F403" s="19"/>
      <c r="G403" s="9"/>
    </row>
    <row r="404" ht="22.5" customHeight="1">
      <c r="A404" s="4"/>
      <c r="D404" s="6"/>
      <c r="E404" s="19"/>
      <c r="F404" s="19"/>
      <c r="G404" s="9"/>
    </row>
    <row r="405" ht="22.5" customHeight="1">
      <c r="A405" s="4"/>
      <c r="D405" s="6"/>
      <c r="E405" s="19"/>
      <c r="F405" s="19"/>
      <c r="G405" s="9"/>
    </row>
    <row r="406" ht="22.5" customHeight="1">
      <c r="A406" s="4"/>
      <c r="D406" s="6"/>
      <c r="E406" s="19"/>
      <c r="F406" s="19"/>
      <c r="G406" s="9"/>
    </row>
    <row r="407" ht="22.5" customHeight="1">
      <c r="A407" s="4"/>
      <c r="D407" s="6"/>
      <c r="E407" s="19"/>
      <c r="F407" s="19"/>
      <c r="G407" s="9"/>
    </row>
    <row r="408" ht="22.5" customHeight="1">
      <c r="A408" s="4"/>
      <c r="D408" s="6"/>
      <c r="E408" s="19"/>
      <c r="F408" s="19"/>
      <c r="G408" s="9"/>
    </row>
    <row r="409" ht="22.5" customHeight="1">
      <c r="A409" s="4"/>
      <c r="D409" s="6"/>
      <c r="E409" s="19"/>
      <c r="F409" s="19"/>
      <c r="G409" s="9"/>
    </row>
    <row r="410" ht="22.5" customHeight="1">
      <c r="A410" s="4"/>
      <c r="D410" s="6"/>
      <c r="E410" s="19"/>
      <c r="F410" s="19"/>
      <c r="G410" s="9"/>
    </row>
    <row r="411" ht="22.5" customHeight="1">
      <c r="A411" s="4"/>
      <c r="D411" s="6"/>
      <c r="E411" s="19"/>
      <c r="F411" s="19"/>
      <c r="G411" s="9"/>
    </row>
    <row r="412" ht="22.5" customHeight="1">
      <c r="A412" s="4"/>
      <c r="D412" s="6"/>
      <c r="E412" s="19"/>
      <c r="F412" s="19"/>
      <c r="G412" s="9"/>
    </row>
    <row r="413" ht="22.5" customHeight="1">
      <c r="A413" s="4"/>
      <c r="D413" s="6"/>
      <c r="E413" s="19"/>
      <c r="F413" s="19"/>
      <c r="G413" s="9"/>
    </row>
    <row r="414" ht="22.5" customHeight="1">
      <c r="A414" s="4"/>
      <c r="D414" s="6"/>
      <c r="E414" s="19"/>
      <c r="F414" s="19"/>
      <c r="G414" s="9"/>
    </row>
    <row r="415" ht="22.5" customHeight="1">
      <c r="A415" s="4"/>
      <c r="D415" s="6"/>
      <c r="E415" s="19"/>
      <c r="F415" s="19"/>
      <c r="G415" s="9"/>
    </row>
    <row r="416" ht="22.5" customHeight="1">
      <c r="A416" s="4"/>
      <c r="D416" s="6"/>
      <c r="E416" s="19"/>
      <c r="F416" s="19"/>
      <c r="G416" s="9"/>
    </row>
    <row r="417" ht="22.5" customHeight="1">
      <c r="A417" s="4"/>
      <c r="D417" s="6"/>
      <c r="E417" s="19"/>
      <c r="F417" s="19"/>
      <c r="G417" s="9"/>
    </row>
    <row r="418" ht="22.5" customHeight="1">
      <c r="A418" s="4"/>
      <c r="D418" s="6"/>
      <c r="E418" s="19"/>
      <c r="F418" s="19"/>
      <c r="G418" s="9"/>
    </row>
    <row r="419" ht="22.5" customHeight="1">
      <c r="A419" s="4"/>
      <c r="D419" s="6"/>
      <c r="E419" s="19"/>
      <c r="F419" s="19"/>
      <c r="G419" s="9"/>
    </row>
    <row r="420" ht="22.5" customHeight="1">
      <c r="A420" s="4"/>
      <c r="D420" s="6"/>
      <c r="E420" s="19"/>
      <c r="F420" s="19"/>
      <c r="G420" s="9"/>
    </row>
    <row r="421" ht="22.5" customHeight="1">
      <c r="A421" s="4"/>
      <c r="D421" s="6"/>
      <c r="E421" s="19"/>
      <c r="F421" s="19"/>
      <c r="G421" s="9"/>
    </row>
    <row r="422" ht="22.5" customHeight="1">
      <c r="A422" s="4"/>
      <c r="D422" s="6"/>
      <c r="E422" s="19"/>
      <c r="F422" s="19"/>
      <c r="G422" s="9"/>
    </row>
    <row r="423" ht="22.5" customHeight="1">
      <c r="A423" s="4"/>
      <c r="D423" s="6"/>
      <c r="E423" s="19"/>
      <c r="F423" s="19"/>
      <c r="G423" s="9"/>
    </row>
    <row r="424" ht="22.5" customHeight="1">
      <c r="A424" s="4"/>
      <c r="D424" s="6"/>
      <c r="E424" s="19"/>
      <c r="F424" s="19"/>
      <c r="G424" s="9"/>
    </row>
    <row r="425" ht="22.5" customHeight="1">
      <c r="A425" s="4"/>
      <c r="D425" s="6"/>
      <c r="E425" s="19"/>
      <c r="F425" s="19"/>
      <c r="G425" s="9"/>
    </row>
    <row r="426" ht="22.5" customHeight="1">
      <c r="A426" s="4"/>
      <c r="D426" s="6"/>
      <c r="E426" s="19"/>
      <c r="F426" s="19"/>
      <c r="G426" s="9"/>
    </row>
    <row r="427" ht="22.5" customHeight="1">
      <c r="A427" s="4"/>
      <c r="D427" s="6"/>
      <c r="E427" s="19"/>
      <c r="F427" s="19"/>
      <c r="G427" s="9"/>
    </row>
    <row r="428" ht="22.5" customHeight="1">
      <c r="A428" s="4"/>
      <c r="D428" s="6"/>
      <c r="E428" s="19"/>
      <c r="F428" s="19"/>
      <c r="G428" s="9"/>
    </row>
    <row r="429" ht="22.5" customHeight="1">
      <c r="A429" s="4"/>
      <c r="D429" s="6"/>
      <c r="E429" s="19"/>
      <c r="F429" s="19"/>
      <c r="G429" s="9"/>
    </row>
    <row r="430" ht="22.5" customHeight="1">
      <c r="A430" s="4"/>
      <c r="D430" s="6"/>
      <c r="E430" s="19"/>
      <c r="F430" s="19"/>
      <c r="G430" s="9"/>
    </row>
    <row r="431" ht="22.5" customHeight="1">
      <c r="A431" s="4"/>
      <c r="D431" s="6"/>
      <c r="E431" s="19"/>
      <c r="F431" s="19"/>
      <c r="G431" s="9"/>
    </row>
    <row r="432" ht="22.5" customHeight="1">
      <c r="A432" s="4"/>
      <c r="D432" s="6"/>
      <c r="E432" s="19"/>
      <c r="F432" s="19"/>
      <c r="G432" s="9"/>
    </row>
    <row r="433" ht="22.5" customHeight="1">
      <c r="A433" s="4"/>
      <c r="D433" s="6"/>
      <c r="E433" s="19"/>
      <c r="F433" s="19"/>
      <c r="G433" s="9"/>
    </row>
    <row r="434" ht="22.5" customHeight="1">
      <c r="A434" s="4"/>
      <c r="D434" s="6"/>
      <c r="E434" s="19"/>
      <c r="F434" s="19"/>
      <c r="G434" s="9"/>
    </row>
    <row r="435" ht="22.5" customHeight="1">
      <c r="A435" s="4"/>
      <c r="D435" s="6"/>
      <c r="E435" s="19"/>
      <c r="F435" s="19"/>
      <c r="G435" s="9"/>
    </row>
    <row r="436" ht="22.5" customHeight="1">
      <c r="A436" s="4"/>
      <c r="D436" s="6"/>
      <c r="E436" s="19"/>
      <c r="F436" s="19"/>
      <c r="G436" s="9"/>
    </row>
    <row r="437" ht="22.5" customHeight="1">
      <c r="A437" s="4"/>
      <c r="D437" s="6"/>
      <c r="E437" s="19"/>
      <c r="F437" s="19"/>
      <c r="G437" s="9"/>
    </row>
    <row r="438" ht="22.5" customHeight="1">
      <c r="A438" s="4"/>
      <c r="D438" s="6"/>
      <c r="E438" s="19"/>
      <c r="F438" s="19"/>
      <c r="G438" s="9"/>
    </row>
    <row r="439" ht="22.5" customHeight="1">
      <c r="A439" s="4"/>
      <c r="D439" s="6"/>
      <c r="E439" s="19"/>
      <c r="F439" s="19"/>
      <c r="G439" s="9"/>
    </row>
    <row r="440" ht="22.5" customHeight="1">
      <c r="A440" s="4"/>
      <c r="D440" s="6"/>
      <c r="E440" s="19"/>
      <c r="F440" s="19"/>
      <c r="G440" s="9"/>
    </row>
    <row r="441" ht="22.5" customHeight="1">
      <c r="A441" s="4"/>
      <c r="D441" s="6"/>
      <c r="E441" s="19"/>
      <c r="F441" s="19"/>
      <c r="G441" s="9"/>
    </row>
    <row r="442" ht="22.5" customHeight="1">
      <c r="A442" s="4"/>
      <c r="D442" s="6"/>
      <c r="E442" s="19"/>
      <c r="F442" s="19"/>
      <c r="G442" s="9"/>
    </row>
    <row r="443" ht="22.5" customHeight="1">
      <c r="A443" s="4"/>
      <c r="D443" s="6"/>
      <c r="E443" s="19"/>
      <c r="F443" s="19"/>
      <c r="G443" s="9"/>
    </row>
    <row r="444" ht="22.5" customHeight="1">
      <c r="A444" s="4"/>
      <c r="D444" s="6"/>
      <c r="E444" s="19"/>
      <c r="F444" s="19"/>
      <c r="G444" s="9"/>
    </row>
    <row r="445" ht="22.5" customHeight="1">
      <c r="A445" s="4"/>
      <c r="D445" s="6"/>
      <c r="E445" s="19"/>
      <c r="F445" s="19"/>
      <c r="G445" s="9"/>
    </row>
    <row r="446" ht="22.5" customHeight="1">
      <c r="A446" s="4"/>
      <c r="D446" s="6"/>
      <c r="E446" s="19"/>
      <c r="F446" s="19"/>
      <c r="G446" s="9"/>
    </row>
    <row r="447" ht="22.5" customHeight="1">
      <c r="A447" s="4"/>
      <c r="D447" s="6"/>
      <c r="E447" s="19"/>
      <c r="F447" s="19"/>
      <c r="G447" s="9"/>
    </row>
    <row r="448" ht="22.5" customHeight="1">
      <c r="A448" s="4"/>
      <c r="D448" s="6"/>
      <c r="E448" s="19"/>
      <c r="F448" s="19"/>
      <c r="G448" s="9"/>
    </row>
    <row r="449" ht="22.5" customHeight="1">
      <c r="A449" s="4"/>
      <c r="D449" s="6"/>
      <c r="E449" s="19"/>
      <c r="F449" s="19"/>
      <c r="G449" s="9"/>
    </row>
    <row r="450" ht="22.5" customHeight="1">
      <c r="A450" s="4"/>
      <c r="D450" s="6"/>
      <c r="E450" s="19"/>
      <c r="F450" s="19"/>
      <c r="G450" s="9"/>
    </row>
    <row r="451" ht="22.5" customHeight="1">
      <c r="A451" s="4"/>
      <c r="D451" s="6"/>
      <c r="E451" s="19"/>
      <c r="F451" s="19"/>
      <c r="G451" s="9"/>
    </row>
    <row r="452" ht="22.5" customHeight="1">
      <c r="A452" s="4"/>
      <c r="D452" s="6"/>
      <c r="E452" s="19"/>
      <c r="F452" s="19"/>
      <c r="G452" s="9"/>
    </row>
    <row r="453" ht="22.5" customHeight="1">
      <c r="A453" s="4"/>
      <c r="D453" s="6"/>
      <c r="E453" s="19"/>
      <c r="F453" s="19"/>
      <c r="G453" s="9"/>
    </row>
    <row r="454" ht="22.5" customHeight="1">
      <c r="A454" s="4"/>
      <c r="D454" s="6"/>
      <c r="E454" s="19"/>
      <c r="F454" s="19"/>
      <c r="G454" s="9"/>
    </row>
    <row r="455" ht="22.5" customHeight="1">
      <c r="A455" s="4"/>
      <c r="D455" s="6"/>
      <c r="E455" s="19"/>
      <c r="F455" s="19"/>
      <c r="G455" s="9"/>
    </row>
    <row r="456" ht="22.5" customHeight="1">
      <c r="A456" s="4"/>
      <c r="D456" s="6"/>
      <c r="E456" s="19"/>
      <c r="F456" s="19"/>
      <c r="G456" s="9"/>
    </row>
    <row r="457" ht="22.5" customHeight="1">
      <c r="A457" s="4"/>
      <c r="D457" s="6"/>
      <c r="E457" s="19"/>
      <c r="F457" s="19"/>
      <c r="G457" s="9"/>
    </row>
    <row r="458" ht="22.5" customHeight="1">
      <c r="A458" s="4"/>
      <c r="D458" s="6"/>
      <c r="E458" s="19"/>
      <c r="F458" s="19"/>
      <c r="G458" s="9"/>
    </row>
    <row r="459" ht="22.5" customHeight="1">
      <c r="A459" s="4"/>
      <c r="D459" s="6"/>
      <c r="E459" s="19"/>
      <c r="F459" s="19"/>
      <c r="G459" s="9"/>
    </row>
    <row r="460" ht="22.5" customHeight="1">
      <c r="A460" s="4"/>
      <c r="D460" s="6"/>
      <c r="E460" s="19"/>
      <c r="F460" s="19"/>
      <c r="G460" s="9"/>
    </row>
    <row r="461" ht="22.5" customHeight="1">
      <c r="A461" s="4"/>
      <c r="D461" s="6"/>
      <c r="E461" s="19"/>
      <c r="F461" s="19"/>
      <c r="G461" s="9"/>
    </row>
    <row r="462" ht="22.5" customHeight="1">
      <c r="A462" s="4"/>
      <c r="D462" s="6"/>
      <c r="E462" s="19"/>
      <c r="F462" s="19"/>
      <c r="G462" s="9"/>
    </row>
    <row r="463" ht="22.5" customHeight="1">
      <c r="A463" s="4"/>
      <c r="D463" s="6"/>
      <c r="E463" s="19"/>
      <c r="F463" s="19"/>
      <c r="G463" s="9"/>
    </row>
    <row r="464" ht="22.5" customHeight="1">
      <c r="A464" s="4"/>
      <c r="D464" s="6"/>
      <c r="E464" s="19"/>
      <c r="F464" s="19"/>
      <c r="G464" s="9"/>
    </row>
    <row r="465" ht="22.5" customHeight="1">
      <c r="A465" s="4"/>
      <c r="D465" s="6"/>
      <c r="E465" s="19"/>
      <c r="F465" s="19"/>
      <c r="G465" s="9"/>
    </row>
    <row r="466" ht="22.5" customHeight="1">
      <c r="A466" s="4"/>
      <c r="D466" s="6"/>
      <c r="E466" s="19"/>
      <c r="F466" s="19"/>
      <c r="G466" s="9"/>
    </row>
    <row r="467" ht="22.5" customHeight="1">
      <c r="A467" s="4"/>
      <c r="D467" s="6"/>
      <c r="E467" s="19"/>
      <c r="F467" s="19"/>
      <c r="G467" s="9"/>
    </row>
    <row r="468" ht="22.5" customHeight="1">
      <c r="A468" s="4"/>
      <c r="D468" s="6"/>
      <c r="E468" s="19"/>
      <c r="F468" s="19"/>
      <c r="G468" s="9"/>
    </row>
    <row r="469" ht="22.5" customHeight="1">
      <c r="A469" s="4"/>
      <c r="D469" s="6"/>
      <c r="E469" s="19"/>
      <c r="F469" s="19"/>
      <c r="G469" s="9"/>
    </row>
    <row r="470" ht="22.5" customHeight="1">
      <c r="A470" s="4"/>
      <c r="D470" s="6"/>
      <c r="E470" s="19"/>
      <c r="F470" s="19"/>
      <c r="G470" s="9"/>
    </row>
    <row r="471" ht="22.5" customHeight="1">
      <c r="A471" s="4"/>
      <c r="D471" s="6"/>
      <c r="E471" s="19"/>
      <c r="F471" s="19"/>
      <c r="G471" s="9"/>
    </row>
    <row r="472" ht="22.5" customHeight="1">
      <c r="A472" s="4"/>
      <c r="D472" s="6"/>
      <c r="E472" s="19"/>
      <c r="F472" s="19"/>
      <c r="G472" s="9"/>
    </row>
    <row r="473" ht="22.5" customHeight="1">
      <c r="A473" s="4"/>
      <c r="D473" s="6"/>
      <c r="E473" s="19"/>
      <c r="F473" s="19"/>
      <c r="G473" s="9"/>
    </row>
    <row r="474" ht="22.5" customHeight="1">
      <c r="A474" s="4"/>
      <c r="D474" s="6"/>
      <c r="E474" s="19"/>
      <c r="F474" s="19"/>
      <c r="G474" s="9"/>
    </row>
    <row r="475" ht="22.5" customHeight="1">
      <c r="A475" s="4"/>
      <c r="D475" s="6"/>
      <c r="E475" s="19"/>
      <c r="F475" s="19"/>
      <c r="G475" s="9"/>
    </row>
    <row r="476" ht="22.5" customHeight="1">
      <c r="A476" s="4"/>
      <c r="D476" s="6"/>
      <c r="E476" s="19"/>
      <c r="F476" s="19"/>
      <c r="G476" s="9"/>
    </row>
    <row r="477" ht="22.5" customHeight="1">
      <c r="A477" s="4"/>
      <c r="D477" s="6"/>
      <c r="E477" s="19"/>
      <c r="F477" s="19"/>
      <c r="G477" s="9"/>
    </row>
    <row r="478" ht="22.5" customHeight="1">
      <c r="A478" s="4"/>
      <c r="D478" s="6"/>
      <c r="E478" s="19"/>
      <c r="F478" s="19"/>
      <c r="G478" s="9"/>
    </row>
    <row r="479" ht="22.5" customHeight="1">
      <c r="A479" s="4"/>
      <c r="D479" s="6"/>
      <c r="E479" s="19"/>
      <c r="F479" s="19"/>
      <c r="G479" s="9"/>
    </row>
    <row r="480" ht="22.5" customHeight="1">
      <c r="A480" s="4"/>
      <c r="D480" s="6"/>
      <c r="E480" s="19"/>
      <c r="F480" s="19"/>
      <c r="G480" s="9"/>
    </row>
    <row r="481" ht="22.5" customHeight="1">
      <c r="A481" s="4"/>
      <c r="D481" s="6"/>
      <c r="E481" s="19"/>
      <c r="F481" s="19"/>
      <c r="G481" s="9"/>
    </row>
    <row r="482" ht="22.5" customHeight="1">
      <c r="A482" s="4"/>
      <c r="D482" s="6"/>
      <c r="E482" s="19"/>
      <c r="F482" s="19"/>
      <c r="G482" s="9"/>
    </row>
    <row r="483" ht="22.5" customHeight="1">
      <c r="A483" s="4"/>
      <c r="D483" s="6"/>
      <c r="E483" s="19"/>
      <c r="F483" s="19"/>
      <c r="G483" s="9"/>
    </row>
    <row r="484" ht="22.5" customHeight="1">
      <c r="A484" s="4"/>
      <c r="D484" s="6"/>
      <c r="E484" s="19"/>
      <c r="F484" s="19"/>
      <c r="G484" s="9"/>
    </row>
    <row r="485" ht="22.5" customHeight="1">
      <c r="A485" s="4"/>
      <c r="D485" s="6"/>
      <c r="E485" s="19"/>
      <c r="F485" s="19"/>
      <c r="G485" s="9"/>
    </row>
    <row r="486" ht="22.5" customHeight="1">
      <c r="A486" s="4"/>
      <c r="D486" s="6"/>
      <c r="E486" s="19"/>
      <c r="F486" s="19"/>
      <c r="G486" s="9"/>
    </row>
    <row r="487" ht="22.5" customHeight="1">
      <c r="A487" s="4"/>
      <c r="D487" s="6"/>
      <c r="E487" s="19"/>
      <c r="F487" s="19"/>
      <c r="G487" s="9"/>
    </row>
    <row r="488" ht="22.5" customHeight="1">
      <c r="A488" s="4"/>
      <c r="D488" s="6"/>
      <c r="E488" s="19"/>
      <c r="F488" s="19"/>
      <c r="G488" s="9"/>
    </row>
    <row r="489" ht="22.5" customHeight="1">
      <c r="A489" s="4"/>
      <c r="D489" s="6"/>
      <c r="E489" s="19"/>
      <c r="F489" s="19"/>
      <c r="G489" s="9"/>
    </row>
    <row r="490" ht="22.5" customHeight="1">
      <c r="A490" s="4"/>
      <c r="D490" s="6"/>
      <c r="E490" s="19"/>
      <c r="F490" s="19"/>
      <c r="G490" s="9"/>
    </row>
    <row r="491" ht="22.5" customHeight="1">
      <c r="A491" s="4"/>
      <c r="D491" s="6"/>
      <c r="E491" s="19"/>
      <c r="F491" s="19"/>
      <c r="G491" s="9"/>
    </row>
    <row r="492" ht="22.5" customHeight="1">
      <c r="A492" s="4"/>
      <c r="D492" s="6"/>
      <c r="E492" s="19"/>
      <c r="F492" s="19"/>
      <c r="G492" s="9"/>
    </row>
    <row r="493" ht="22.5" customHeight="1">
      <c r="A493" s="4"/>
      <c r="D493" s="6"/>
      <c r="E493" s="19"/>
      <c r="F493" s="19"/>
      <c r="G493" s="9"/>
    </row>
    <row r="494" ht="22.5" customHeight="1">
      <c r="A494" s="4"/>
      <c r="D494" s="6"/>
      <c r="E494" s="19"/>
      <c r="F494" s="19"/>
      <c r="G494" s="9"/>
    </row>
    <row r="495" ht="22.5" customHeight="1">
      <c r="A495" s="4"/>
      <c r="D495" s="6"/>
      <c r="E495" s="19"/>
      <c r="F495" s="19"/>
      <c r="G495" s="9"/>
    </row>
    <row r="496" ht="22.5" customHeight="1">
      <c r="A496" s="4"/>
      <c r="D496" s="6"/>
      <c r="E496" s="19"/>
      <c r="F496" s="19"/>
      <c r="G496" s="9"/>
    </row>
    <row r="497" ht="22.5" customHeight="1">
      <c r="A497" s="4"/>
      <c r="D497" s="6"/>
      <c r="E497" s="19"/>
      <c r="F497" s="19"/>
      <c r="G497" s="9"/>
    </row>
    <row r="498" ht="22.5" customHeight="1">
      <c r="A498" s="4"/>
      <c r="D498" s="6"/>
      <c r="E498" s="19"/>
      <c r="F498" s="19"/>
      <c r="G498" s="9"/>
    </row>
    <row r="499" ht="22.5" customHeight="1">
      <c r="A499" s="4"/>
      <c r="D499" s="6"/>
      <c r="E499" s="19"/>
      <c r="F499" s="19"/>
      <c r="G499" s="9"/>
    </row>
    <row r="500" ht="22.5" customHeight="1">
      <c r="A500" s="4"/>
      <c r="D500" s="6"/>
      <c r="E500" s="19"/>
      <c r="F500" s="19"/>
      <c r="G500" s="9"/>
    </row>
    <row r="501" ht="22.5" customHeight="1">
      <c r="A501" s="4"/>
      <c r="D501" s="6"/>
      <c r="E501" s="19"/>
      <c r="F501" s="19"/>
      <c r="G501" s="9"/>
    </row>
    <row r="502" ht="22.5" customHeight="1">
      <c r="A502" s="4"/>
      <c r="D502" s="6"/>
      <c r="E502" s="19"/>
      <c r="F502" s="19"/>
      <c r="G502" s="9"/>
    </row>
    <row r="503" ht="22.5" customHeight="1">
      <c r="A503" s="4"/>
      <c r="D503" s="6"/>
      <c r="E503" s="19"/>
      <c r="F503" s="19"/>
      <c r="G503" s="9"/>
    </row>
    <row r="504" ht="22.5" customHeight="1">
      <c r="A504" s="4"/>
      <c r="D504" s="6"/>
      <c r="E504" s="19"/>
      <c r="F504" s="19"/>
      <c r="G504" s="9"/>
    </row>
    <row r="505" ht="22.5" customHeight="1">
      <c r="A505" s="4"/>
      <c r="D505" s="6"/>
      <c r="E505" s="19"/>
      <c r="F505" s="19"/>
      <c r="G505" s="9"/>
    </row>
    <row r="506" ht="22.5" customHeight="1">
      <c r="A506" s="4"/>
      <c r="D506" s="6"/>
      <c r="E506" s="19"/>
      <c r="F506" s="19"/>
      <c r="G506" s="9"/>
    </row>
    <row r="507" ht="22.5" customHeight="1">
      <c r="A507" s="4"/>
      <c r="D507" s="6"/>
      <c r="E507" s="19"/>
      <c r="F507" s="19"/>
      <c r="G507" s="9"/>
    </row>
    <row r="508" ht="22.5" customHeight="1">
      <c r="A508" s="4"/>
      <c r="D508" s="6"/>
      <c r="E508" s="19"/>
      <c r="F508" s="19"/>
      <c r="G508" s="9"/>
    </row>
    <row r="509" ht="22.5" customHeight="1">
      <c r="A509" s="4"/>
      <c r="D509" s="6"/>
      <c r="E509" s="19"/>
      <c r="F509" s="19"/>
      <c r="G509" s="9"/>
    </row>
    <row r="510" ht="22.5" customHeight="1">
      <c r="A510" s="4"/>
      <c r="D510" s="6"/>
      <c r="E510" s="19"/>
      <c r="F510" s="19"/>
      <c r="G510" s="9"/>
    </row>
    <row r="511" ht="22.5" customHeight="1">
      <c r="A511" s="4"/>
      <c r="D511" s="6"/>
      <c r="E511" s="19"/>
      <c r="F511" s="19"/>
      <c r="G511" s="9"/>
    </row>
    <row r="512" ht="22.5" customHeight="1">
      <c r="A512" s="4"/>
      <c r="D512" s="6"/>
      <c r="E512" s="19"/>
      <c r="F512" s="19"/>
      <c r="G512" s="9"/>
    </row>
    <row r="513" ht="22.5" customHeight="1">
      <c r="A513" s="4"/>
      <c r="D513" s="6"/>
      <c r="E513" s="19"/>
      <c r="F513" s="19"/>
      <c r="G513" s="9"/>
    </row>
    <row r="514" ht="22.5" customHeight="1">
      <c r="A514" s="4"/>
      <c r="D514" s="6"/>
      <c r="E514" s="19"/>
      <c r="F514" s="19"/>
      <c r="G514" s="9"/>
    </row>
    <row r="515" ht="22.5" customHeight="1">
      <c r="A515" s="4"/>
      <c r="D515" s="6"/>
      <c r="E515" s="19"/>
      <c r="F515" s="19"/>
      <c r="G515" s="9"/>
    </row>
    <row r="516" ht="22.5" customHeight="1">
      <c r="A516" s="4"/>
      <c r="D516" s="6"/>
      <c r="E516" s="19"/>
      <c r="F516" s="19"/>
      <c r="G516" s="9"/>
    </row>
    <row r="517" ht="22.5" customHeight="1">
      <c r="A517" s="4"/>
      <c r="D517" s="6"/>
      <c r="E517" s="19"/>
      <c r="F517" s="19"/>
      <c r="G517" s="9"/>
    </row>
    <row r="518" ht="22.5" customHeight="1">
      <c r="A518" s="4"/>
      <c r="D518" s="6"/>
      <c r="E518" s="19"/>
      <c r="F518" s="19"/>
      <c r="G518" s="9"/>
    </row>
    <row r="519" ht="22.5" customHeight="1">
      <c r="A519" s="4"/>
      <c r="D519" s="6"/>
      <c r="E519" s="19"/>
      <c r="F519" s="19"/>
      <c r="G519" s="9"/>
    </row>
    <row r="520" ht="22.5" customHeight="1">
      <c r="A520" s="4"/>
      <c r="D520" s="6"/>
      <c r="E520" s="19"/>
      <c r="F520" s="19"/>
      <c r="G520" s="9"/>
    </row>
    <row r="521" ht="22.5" customHeight="1">
      <c r="A521" s="4"/>
      <c r="D521" s="6"/>
      <c r="E521" s="19"/>
      <c r="F521" s="19"/>
      <c r="G521" s="9"/>
    </row>
    <row r="522" ht="22.5" customHeight="1">
      <c r="A522" s="4"/>
      <c r="D522" s="6"/>
      <c r="E522" s="19"/>
      <c r="F522" s="19"/>
      <c r="G522" s="9"/>
    </row>
    <row r="523" ht="22.5" customHeight="1">
      <c r="A523" s="4"/>
      <c r="D523" s="6"/>
      <c r="E523" s="19"/>
      <c r="F523" s="19"/>
      <c r="G523" s="9"/>
    </row>
    <row r="524" ht="22.5" customHeight="1">
      <c r="A524" s="4"/>
      <c r="D524" s="6"/>
      <c r="E524" s="19"/>
      <c r="F524" s="19"/>
      <c r="G524" s="9"/>
    </row>
    <row r="525" ht="22.5" customHeight="1">
      <c r="A525" s="4"/>
      <c r="D525" s="6"/>
      <c r="E525" s="19"/>
      <c r="F525" s="19"/>
      <c r="G525" s="9"/>
    </row>
    <row r="526" ht="22.5" customHeight="1">
      <c r="A526" s="4"/>
      <c r="D526" s="6"/>
      <c r="E526" s="19"/>
      <c r="F526" s="19"/>
      <c r="G526" s="9"/>
    </row>
    <row r="527" ht="22.5" customHeight="1">
      <c r="A527" s="4"/>
      <c r="D527" s="6"/>
      <c r="E527" s="19"/>
      <c r="F527" s="19"/>
      <c r="G527" s="9"/>
    </row>
    <row r="528" ht="22.5" customHeight="1">
      <c r="A528" s="4"/>
      <c r="D528" s="6"/>
      <c r="E528" s="19"/>
      <c r="F528" s="19"/>
      <c r="G528" s="9"/>
    </row>
    <row r="529" ht="22.5" customHeight="1">
      <c r="A529" s="4"/>
      <c r="D529" s="6"/>
      <c r="E529" s="19"/>
      <c r="F529" s="19"/>
      <c r="G529" s="9"/>
    </row>
    <row r="530" ht="22.5" customHeight="1">
      <c r="A530" s="4"/>
      <c r="D530" s="6"/>
      <c r="E530" s="19"/>
      <c r="F530" s="19"/>
      <c r="G530" s="9"/>
    </row>
    <row r="531" ht="22.5" customHeight="1">
      <c r="A531" s="4"/>
      <c r="D531" s="6"/>
      <c r="E531" s="19"/>
      <c r="F531" s="19"/>
      <c r="G531" s="9"/>
    </row>
    <row r="532" ht="22.5" customHeight="1">
      <c r="A532" s="4"/>
      <c r="D532" s="6"/>
      <c r="E532" s="19"/>
      <c r="F532" s="19"/>
      <c r="G532" s="9"/>
    </row>
    <row r="533" ht="22.5" customHeight="1">
      <c r="A533" s="4"/>
      <c r="D533" s="6"/>
      <c r="E533" s="19"/>
      <c r="F533" s="19"/>
      <c r="G533" s="9"/>
    </row>
    <row r="534" ht="22.5" customHeight="1">
      <c r="A534" s="4"/>
      <c r="D534" s="6"/>
      <c r="E534" s="19"/>
      <c r="F534" s="19"/>
      <c r="G534" s="9"/>
    </row>
    <row r="535" ht="22.5" customHeight="1">
      <c r="A535" s="4"/>
      <c r="D535" s="6"/>
      <c r="E535" s="19"/>
      <c r="F535" s="19"/>
      <c r="G535" s="9"/>
    </row>
    <row r="536" ht="22.5" customHeight="1">
      <c r="A536" s="4"/>
      <c r="D536" s="6"/>
      <c r="E536" s="19"/>
      <c r="F536" s="19"/>
      <c r="G536" s="9"/>
    </row>
    <row r="537" ht="22.5" customHeight="1">
      <c r="A537" s="4"/>
      <c r="D537" s="6"/>
      <c r="E537" s="19"/>
      <c r="F537" s="19"/>
      <c r="G537" s="9"/>
    </row>
    <row r="538" ht="22.5" customHeight="1">
      <c r="A538" s="4"/>
      <c r="D538" s="6"/>
      <c r="E538" s="19"/>
      <c r="F538" s="19"/>
      <c r="G538" s="9"/>
    </row>
    <row r="539" ht="22.5" customHeight="1">
      <c r="A539" s="4"/>
      <c r="D539" s="6"/>
      <c r="E539" s="19"/>
      <c r="F539" s="19"/>
      <c r="G539" s="9"/>
    </row>
    <row r="540" ht="22.5" customHeight="1">
      <c r="A540" s="4"/>
      <c r="D540" s="6"/>
      <c r="E540" s="19"/>
      <c r="F540" s="19"/>
      <c r="G540" s="9"/>
    </row>
    <row r="541" ht="22.5" customHeight="1">
      <c r="A541" s="4"/>
      <c r="D541" s="6"/>
      <c r="E541" s="19"/>
      <c r="F541" s="19"/>
      <c r="G541" s="9"/>
    </row>
    <row r="542" ht="22.5" customHeight="1">
      <c r="A542" s="4"/>
      <c r="D542" s="6"/>
      <c r="E542" s="19"/>
      <c r="F542" s="19"/>
      <c r="G542" s="9"/>
    </row>
    <row r="543" ht="22.5" customHeight="1">
      <c r="A543" s="4"/>
      <c r="D543" s="6"/>
      <c r="E543" s="19"/>
      <c r="F543" s="19"/>
      <c r="G543" s="9"/>
    </row>
    <row r="544" ht="22.5" customHeight="1">
      <c r="A544" s="4"/>
      <c r="D544" s="6"/>
      <c r="E544" s="19"/>
      <c r="F544" s="19"/>
      <c r="G544" s="9"/>
    </row>
    <row r="545" ht="22.5" customHeight="1">
      <c r="A545" s="4"/>
      <c r="D545" s="6"/>
      <c r="E545" s="19"/>
      <c r="F545" s="19"/>
      <c r="G545" s="9"/>
    </row>
    <row r="546" ht="22.5" customHeight="1">
      <c r="A546" s="4"/>
      <c r="D546" s="6"/>
      <c r="E546" s="19"/>
      <c r="F546" s="19"/>
      <c r="G546" s="9"/>
    </row>
    <row r="547" ht="22.5" customHeight="1">
      <c r="A547" s="4"/>
      <c r="D547" s="6"/>
      <c r="E547" s="19"/>
      <c r="F547" s="19"/>
      <c r="G547" s="9"/>
    </row>
    <row r="548" ht="22.5" customHeight="1">
      <c r="A548" s="4"/>
      <c r="D548" s="6"/>
      <c r="E548" s="19"/>
      <c r="F548" s="19"/>
      <c r="G548" s="9"/>
    </row>
    <row r="549" ht="22.5" customHeight="1">
      <c r="A549" s="4"/>
      <c r="D549" s="6"/>
      <c r="E549" s="19"/>
      <c r="F549" s="19"/>
      <c r="G549" s="9"/>
    </row>
    <row r="550" ht="22.5" customHeight="1">
      <c r="A550" s="4"/>
      <c r="D550" s="6"/>
      <c r="E550" s="19"/>
      <c r="F550" s="19"/>
      <c r="G550" s="9"/>
    </row>
    <row r="551" ht="22.5" customHeight="1">
      <c r="A551" s="4"/>
      <c r="D551" s="6"/>
      <c r="E551" s="19"/>
      <c r="F551" s="19"/>
      <c r="G551" s="9"/>
    </row>
    <row r="552" ht="22.5" customHeight="1">
      <c r="A552" s="4"/>
      <c r="D552" s="6"/>
      <c r="E552" s="19"/>
      <c r="F552" s="19"/>
      <c r="G552" s="9"/>
    </row>
    <row r="553" ht="22.5" customHeight="1">
      <c r="A553" s="4"/>
      <c r="D553" s="6"/>
      <c r="E553" s="19"/>
      <c r="F553" s="19"/>
      <c r="G553" s="9"/>
    </row>
    <row r="554" ht="22.5" customHeight="1">
      <c r="A554" s="4"/>
      <c r="D554" s="6"/>
      <c r="E554" s="19"/>
      <c r="F554" s="19"/>
      <c r="G554" s="9"/>
    </row>
    <row r="555" ht="22.5" customHeight="1">
      <c r="A555" s="4"/>
      <c r="D555" s="6"/>
      <c r="E555" s="19"/>
      <c r="F555" s="19"/>
      <c r="G555" s="9"/>
    </row>
    <row r="556" ht="22.5" customHeight="1">
      <c r="A556" s="4"/>
      <c r="D556" s="6"/>
      <c r="E556" s="19"/>
      <c r="F556" s="19"/>
      <c r="G556" s="9"/>
    </row>
    <row r="557" ht="22.5" customHeight="1">
      <c r="A557" s="4"/>
      <c r="D557" s="6"/>
      <c r="E557" s="19"/>
      <c r="F557" s="19"/>
      <c r="G557" s="9"/>
    </row>
    <row r="558" ht="22.5" customHeight="1">
      <c r="A558" s="4"/>
      <c r="D558" s="6"/>
      <c r="E558" s="19"/>
      <c r="F558" s="19"/>
      <c r="G558" s="9"/>
    </row>
    <row r="559" ht="22.5" customHeight="1">
      <c r="A559" s="4"/>
      <c r="D559" s="6"/>
      <c r="E559" s="19"/>
      <c r="F559" s="19"/>
      <c r="G559" s="9"/>
    </row>
    <row r="560" ht="22.5" customHeight="1">
      <c r="A560" s="4"/>
      <c r="D560" s="6"/>
      <c r="E560" s="19"/>
      <c r="F560" s="19"/>
      <c r="G560" s="9"/>
    </row>
    <row r="561" ht="22.5" customHeight="1">
      <c r="A561" s="4"/>
      <c r="D561" s="6"/>
      <c r="E561" s="19"/>
      <c r="F561" s="19"/>
      <c r="G561" s="9"/>
    </row>
    <row r="562" ht="22.5" customHeight="1">
      <c r="A562" s="4"/>
      <c r="D562" s="6"/>
      <c r="E562" s="19"/>
      <c r="F562" s="19"/>
      <c r="G562" s="9"/>
    </row>
    <row r="563" ht="22.5" customHeight="1">
      <c r="A563" s="4"/>
      <c r="D563" s="6"/>
      <c r="E563" s="19"/>
      <c r="F563" s="19"/>
      <c r="G563" s="9"/>
    </row>
    <row r="564" ht="22.5" customHeight="1">
      <c r="A564" s="4"/>
      <c r="D564" s="6"/>
      <c r="E564" s="19"/>
      <c r="F564" s="19"/>
      <c r="G564" s="9"/>
    </row>
    <row r="565" ht="22.5" customHeight="1">
      <c r="A565" s="4"/>
      <c r="D565" s="6"/>
      <c r="E565" s="19"/>
      <c r="F565" s="19"/>
      <c r="G565" s="9"/>
    </row>
    <row r="566" ht="22.5" customHeight="1">
      <c r="A566" s="4"/>
      <c r="D566" s="6"/>
      <c r="E566" s="19"/>
      <c r="F566" s="19"/>
      <c r="G566" s="9"/>
    </row>
    <row r="567" ht="22.5" customHeight="1">
      <c r="A567" s="4"/>
      <c r="D567" s="6"/>
      <c r="E567" s="19"/>
      <c r="F567" s="19"/>
      <c r="G567" s="9"/>
    </row>
    <row r="568" ht="22.5" customHeight="1">
      <c r="A568" s="4"/>
      <c r="D568" s="6"/>
      <c r="E568" s="19"/>
      <c r="F568" s="19"/>
      <c r="G568" s="9"/>
    </row>
    <row r="569" ht="22.5" customHeight="1">
      <c r="A569" s="4"/>
      <c r="D569" s="6"/>
      <c r="E569" s="19"/>
      <c r="F569" s="19"/>
      <c r="G569" s="9"/>
    </row>
    <row r="570" ht="22.5" customHeight="1">
      <c r="A570" s="4"/>
      <c r="D570" s="6"/>
      <c r="E570" s="19"/>
      <c r="F570" s="19"/>
      <c r="G570" s="9"/>
    </row>
    <row r="571" ht="22.5" customHeight="1">
      <c r="A571" s="4"/>
      <c r="D571" s="6"/>
      <c r="E571" s="19"/>
      <c r="F571" s="19"/>
      <c r="G571" s="9"/>
    </row>
    <row r="572" ht="22.5" customHeight="1">
      <c r="A572" s="4"/>
      <c r="D572" s="6"/>
      <c r="E572" s="19"/>
      <c r="F572" s="19"/>
      <c r="G572" s="9"/>
    </row>
    <row r="573" ht="22.5" customHeight="1">
      <c r="A573" s="4"/>
      <c r="D573" s="6"/>
      <c r="E573" s="19"/>
      <c r="F573" s="19"/>
      <c r="G573" s="9"/>
    </row>
    <row r="574" ht="22.5" customHeight="1">
      <c r="A574" s="4"/>
      <c r="D574" s="6"/>
      <c r="E574" s="19"/>
      <c r="F574" s="19"/>
      <c r="G574" s="9"/>
    </row>
    <row r="575" ht="22.5" customHeight="1">
      <c r="A575" s="4"/>
      <c r="D575" s="6"/>
      <c r="E575" s="19"/>
      <c r="F575" s="19"/>
      <c r="G575" s="9"/>
    </row>
    <row r="576" ht="22.5" customHeight="1">
      <c r="A576" s="4"/>
      <c r="D576" s="6"/>
      <c r="E576" s="19"/>
      <c r="F576" s="19"/>
      <c r="G576" s="9"/>
    </row>
    <row r="577" ht="22.5" customHeight="1">
      <c r="A577" s="4"/>
      <c r="D577" s="6"/>
      <c r="E577" s="19"/>
      <c r="F577" s="19"/>
      <c r="G577" s="9"/>
    </row>
    <row r="578" ht="22.5" customHeight="1">
      <c r="A578" s="4"/>
      <c r="D578" s="6"/>
      <c r="E578" s="19"/>
      <c r="F578" s="19"/>
      <c r="G578" s="9"/>
    </row>
    <row r="579" ht="22.5" customHeight="1">
      <c r="A579" s="4"/>
      <c r="D579" s="6"/>
      <c r="E579" s="19"/>
      <c r="F579" s="19"/>
      <c r="G579" s="9"/>
    </row>
    <row r="580" ht="22.5" customHeight="1">
      <c r="A580" s="4"/>
      <c r="D580" s="6"/>
      <c r="E580" s="19"/>
      <c r="F580" s="19"/>
      <c r="G580" s="9"/>
    </row>
    <row r="581" ht="22.5" customHeight="1">
      <c r="A581" s="4"/>
      <c r="D581" s="6"/>
      <c r="E581" s="19"/>
      <c r="F581" s="19"/>
      <c r="G581" s="9"/>
    </row>
    <row r="582" ht="22.5" customHeight="1">
      <c r="A582" s="4"/>
      <c r="D582" s="6"/>
      <c r="E582" s="19"/>
      <c r="F582" s="19"/>
      <c r="G582" s="9"/>
    </row>
    <row r="583" ht="22.5" customHeight="1">
      <c r="A583" s="4"/>
      <c r="D583" s="6"/>
      <c r="E583" s="19"/>
      <c r="F583" s="19"/>
      <c r="G583" s="9"/>
    </row>
    <row r="584" ht="22.5" customHeight="1">
      <c r="A584" s="4"/>
      <c r="D584" s="6"/>
      <c r="E584" s="19"/>
      <c r="F584" s="19"/>
      <c r="G584" s="9"/>
    </row>
    <row r="585" ht="22.5" customHeight="1">
      <c r="A585" s="4"/>
      <c r="D585" s="6"/>
      <c r="E585" s="19"/>
      <c r="F585" s="19"/>
      <c r="G585" s="9"/>
    </row>
    <row r="586" ht="22.5" customHeight="1">
      <c r="A586" s="4"/>
      <c r="D586" s="6"/>
      <c r="E586" s="19"/>
      <c r="F586" s="19"/>
      <c r="G586" s="9"/>
    </row>
    <row r="587" ht="22.5" customHeight="1">
      <c r="A587" s="4"/>
      <c r="D587" s="6"/>
      <c r="E587" s="19"/>
      <c r="F587" s="19"/>
      <c r="G587" s="9"/>
    </row>
    <row r="588" ht="22.5" customHeight="1">
      <c r="A588" s="4"/>
      <c r="D588" s="6"/>
      <c r="E588" s="19"/>
      <c r="F588" s="19"/>
      <c r="G588" s="9"/>
    </row>
    <row r="589" ht="22.5" customHeight="1">
      <c r="A589" s="4"/>
      <c r="D589" s="6"/>
      <c r="E589" s="19"/>
      <c r="F589" s="19"/>
      <c r="G589" s="9"/>
    </row>
    <row r="590" ht="22.5" customHeight="1">
      <c r="A590" s="4"/>
      <c r="D590" s="6"/>
      <c r="E590" s="19"/>
      <c r="F590" s="19"/>
      <c r="G590" s="9"/>
    </row>
    <row r="591" ht="22.5" customHeight="1">
      <c r="A591" s="4"/>
      <c r="D591" s="6"/>
      <c r="E591" s="19"/>
      <c r="F591" s="19"/>
      <c r="G591" s="9"/>
    </row>
    <row r="592" ht="22.5" customHeight="1">
      <c r="A592" s="4"/>
      <c r="D592" s="6"/>
      <c r="E592" s="19"/>
      <c r="F592" s="19"/>
      <c r="G592" s="9"/>
    </row>
    <row r="593" ht="22.5" customHeight="1">
      <c r="A593" s="4"/>
      <c r="D593" s="6"/>
      <c r="E593" s="19"/>
      <c r="F593" s="19"/>
      <c r="G593" s="9"/>
    </row>
    <row r="594" ht="22.5" customHeight="1">
      <c r="A594" s="4"/>
      <c r="D594" s="6"/>
      <c r="E594" s="19"/>
      <c r="F594" s="19"/>
      <c r="G594" s="9"/>
    </row>
    <row r="595" ht="22.5" customHeight="1">
      <c r="A595" s="4"/>
      <c r="D595" s="6"/>
      <c r="E595" s="19"/>
      <c r="F595" s="19"/>
      <c r="G595" s="9"/>
    </row>
    <row r="596" ht="22.5" customHeight="1">
      <c r="A596" s="4"/>
      <c r="D596" s="6"/>
      <c r="E596" s="19"/>
      <c r="F596" s="19"/>
      <c r="G596" s="9"/>
    </row>
    <row r="597" ht="22.5" customHeight="1">
      <c r="A597" s="4"/>
      <c r="D597" s="6"/>
      <c r="E597" s="19"/>
      <c r="F597" s="19"/>
      <c r="G597" s="9"/>
    </row>
    <row r="598" ht="22.5" customHeight="1">
      <c r="A598" s="4"/>
      <c r="D598" s="6"/>
      <c r="E598" s="19"/>
      <c r="F598" s="19"/>
      <c r="G598" s="9"/>
    </row>
    <row r="599" ht="22.5" customHeight="1">
      <c r="A599" s="4"/>
      <c r="D599" s="6"/>
      <c r="E599" s="19"/>
      <c r="F599" s="19"/>
      <c r="G599" s="9"/>
    </row>
    <row r="600" ht="22.5" customHeight="1">
      <c r="A600" s="4"/>
      <c r="D600" s="6"/>
      <c r="E600" s="19"/>
      <c r="F600" s="19"/>
      <c r="G600" s="9"/>
    </row>
    <row r="601" ht="22.5" customHeight="1">
      <c r="A601" s="4"/>
      <c r="D601" s="6"/>
      <c r="E601" s="19"/>
      <c r="F601" s="19"/>
      <c r="G601" s="9"/>
    </row>
    <row r="602" ht="22.5" customHeight="1">
      <c r="A602" s="4"/>
      <c r="D602" s="6"/>
      <c r="E602" s="19"/>
      <c r="F602" s="19"/>
      <c r="G602" s="9"/>
    </row>
    <row r="603" ht="22.5" customHeight="1">
      <c r="A603" s="4"/>
      <c r="D603" s="6"/>
      <c r="E603" s="19"/>
      <c r="F603" s="19"/>
      <c r="G603" s="9"/>
    </row>
    <row r="604" ht="22.5" customHeight="1">
      <c r="A604" s="4"/>
      <c r="D604" s="6"/>
      <c r="E604" s="19"/>
      <c r="F604" s="19"/>
      <c r="G604" s="9"/>
    </row>
    <row r="605" ht="22.5" customHeight="1">
      <c r="A605" s="4"/>
      <c r="D605" s="6"/>
      <c r="E605" s="19"/>
      <c r="F605" s="19"/>
      <c r="G605" s="9"/>
    </row>
    <row r="606" ht="22.5" customHeight="1">
      <c r="A606" s="4"/>
      <c r="D606" s="6"/>
      <c r="E606" s="19"/>
      <c r="F606" s="19"/>
      <c r="G606" s="9"/>
    </row>
    <row r="607" ht="22.5" customHeight="1">
      <c r="A607" s="4"/>
      <c r="D607" s="6"/>
      <c r="E607" s="19"/>
      <c r="F607" s="19"/>
      <c r="G607" s="9"/>
    </row>
    <row r="608" ht="22.5" customHeight="1">
      <c r="A608" s="4"/>
      <c r="D608" s="6"/>
      <c r="E608" s="19"/>
      <c r="F608" s="19"/>
      <c r="G608" s="9"/>
    </row>
    <row r="609" ht="22.5" customHeight="1">
      <c r="A609" s="4"/>
      <c r="D609" s="6"/>
      <c r="E609" s="19"/>
      <c r="F609" s="19"/>
      <c r="G609" s="9"/>
    </row>
    <row r="610" ht="22.5" customHeight="1">
      <c r="A610" s="4"/>
      <c r="D610" s="6"/>
      <c r="E610" s="19"/>
      <c r="F610" s="19"/>
      <c r="G610" s="9"/>
    </row>
    <row r="611" ht="22.5" customHeight="1">
      <c r="A611" s="4"/>
      <c r="D611" s="6"/>
      <c r="E611" s="19"/>
      <c r="F611" s="19"/>
      <c r="G611" s="9"/>
    </row>
    <row r="612" ht="22.5" customHeight="1">
      <c r="A612" s="4"/>
      <c r="D612" s="6"/>
      <c r="E612" s="19"/>
      <c r="F612" s="19"/>
      <c r="G612" s="9"/>
    </row>
    <row r="613" ht="22.5" customHeight="1">
      <c r="A613" s="4"/>
      <c r="D613" s="6"/>
      <c r="E613" s="19"/>
      <c r="F613" s="19"/>
      <c r="G613" s="9"/>
    </row>
    <row r="614" ht="22.5" customHeight="1">
      <c r="A614" s="4"/>
      <c r="D614" s="6"/>
      <c r="E614" s="19"/>
      <c r="F614" s="19"/>
      <c r="G614" s="9"/>
    </row>
    <row r="615" ht="22.5" customHeight="1">
      <c r="A615" s="4"/>
      <c r="D615" s="6"/>
      <c r="E615" s="19"/>
      <c r="F615" s="19"/>
      <c r="G615" s="9"/>
    </row>
    <row r="616" ht="22.5" customHeight="1">
      <c r="A616" s="4"/>
      <c r="D616" s="6"/>
      <c r="E616" s="19"/>
      <c r="F616" s="19"/>
      <c r="G616" s="9"/>
    </row>
    <row r="617" ht="22.5" customHeight="1">
      <c r="A617" s="4"/>
      <c r="D617" s="6"/>
      <c r="E617" s="19"/>
      <c r="F617" s="19"/>
      <c r="G617" s="9"/>
    </row>
    <row r="618" ht="22.5" customHeight="1">
      <c r="A618" s="4"/>
      <c r="D618" s="6"/>
      <c r="E618" s="19"/>
      <c r="F618" s="19"/>
      <c r="G618" s="9"/>
    </row>
    <row r="619" ht="22.5" customHeight="1">
      <c r="A619" s="4"/>
      <c r="D619" s="6"/>
      <c r="E619" s="19"/>
      <c r="F619" s="19"/>
      <c r="G619" s="9"/>
    </row>
    <row r="620" ht="22.5" customHeight="1">
      <c r="A620" s="4"/>
      <c r="D620" s="6"/>
      <c r="E620" s="19"/>
      <c r="F620" s="19"/>
      <c r="G620" s="9"/>
    </row>
    <row r="621" ht="22.5" customHeight="1">
      <c r="A621" s="4"/>
      <c r="D621" s="6"/>
      <c r="E621" s="19"/>
      <c r="F621" s="19"/>
      <c r="G621" s="9"/>
    </row>
    <row r="622" ht="22.5" customHeight="1">
      <c r="A622" s="4"/>
      <c r="D622" s="6"/>
      <c r="E622" s="19"/>
      <c r="F622" s="19"/>
      <c r="G622" s="9"/>
    </row>
    <row r="623" ht="22.5" customHeight="1">
      <c r="A623" s="4"/>
      <c r="D623" s="6"/>
      <c r="E623" s="19"/>
      <c r="F623" s="19"/>
      <c r="G623" s="9"/>
    </row>
    <row r="624" ht="22.5" customHeight="1">
      <c r="A624" s="4"/>
      <c r="D624" s="6"/>
      <c r="E624" s="19"/>
      <c r="F624" s="19"/>
      <c r="G624" s="9"/>
    </row>
    <row r="625" ht="22.5" customHeight="1">
      <c r="A625" s="4"/>
      <c r="D625" s="6"/>
      <c r="E625" s="19"/>
      <c r="F625" s="19"/>
      <c r="G625" s="9"/>
    </row>
    <row r="626" ht="22.5" customHeight="1">
      <c r="A626" s="4"/>
      <c r="D626" s="6"/>
      <c r="E626" s="19"/>
      <c r="F626" s="19"/>
      <c r="G626" s="9"/>
    </row>
    <row r="627" ht="22.5" customHeight="1">
      <c r="A627" s="4"/>
      <c r="D627" s="6"/>
      <c r="E627" s="19"/>
      <c r="F627" s="19"/>
      <c r="G627" s="9"/>
    </row>
    <row r="628" ht="22.5" customHeight="1">
      <c r="A628" s="4"/>
      <c r="D628" s="6"/>
      <c r="E628" s="19"/>
      <c r="F628" s="19"/>
      <c r="G628" s="9"/>
    </row>
    <row r="629" ht="22.5" customHeight="1">
      <c r="A629" s="4"/>
      <c r="D629" s="6"/>
      <c r="E629" s="19"/>
      <c r="F629" s="19"/>
      <c r="G629" s="9"/>
    </row>
    <row r="630" ht="22.5" customHeight="1">
      <c r="A630" s="4"/>
      <c r="D630" s="6"/>
      <c r="E630" s="19"/>
      <c r="F630" s="19"/>
      <c r="G630" s="9"/>
    </row>
    <row r="631" ht="22.5" customHeight="1">
      <c r="A631" s="4"/>
      <c r="D631" s="6"/>
      <c r="E631" s="19"/>
      <c r="F631" s="19"/>
      <c r="G631" s="9"/>
    </row>
    <row r="632" ht="22.5" customHeight="1">
      <c r="A632" s="4"/>
      <c r="D632" s="6"/>
      <c r="E632" s="19"/>
      <c r="F632" s="19"/>
      <c r="G632" s="9"/>
    </row>
    <row r="633" ht="22.5" customHeight="1">
      <c r="A633" s="4"/>
      <c r="D633" s="6"/>
      <c r="E633" s="19"/>
      <c r="F633" s="19"/>
      <c r="G633" s="9"/>
    </row>
    <row r="634" ht="22.5" customHeight="1">
      <c r="A634" s="4"/>
      <c r="D634" s="6"/>
      <c r="E634" s="19"/>
      <c r="F634" s="19"/>
      <c r="G634" s="9"/>
    </row>
    <row r="635" ht="22.5" customHeight="1">
      <c r="A635" s="4"/>
      <c r="D635" s="6"/>
      <c r="E635" s="19"/>
      <c r="F635" s="19"/>
      <c r="G635" s="9"/>
    </row>
    <row r="636" ht="22.5" customHeight="1">
      <c r="A636" s="4"/>
      <c r="D636" s="6"/>
      <c r="E636" s="19"/>
      <c r="F636" s="19"/>
      <c r="G636" s="9"/>
    </row>
    <row r="637" ht="22.5" customHeight="1">
      <c r="A637" s="4"/>
      <c r="D637" s="6"/>
      <c r="E637" s="19"/>
      <c r="F637" s="19"/>
      <c r="G637" s="9"/>
    </row>
    <row r="638" ht="22.5" customHeight="1">
      <c r="A638" s="4"/>
      <c r="D638" s="6"/>
      <c r="E638" s="19"/>
      <c r="F638" s="19"/>
      <c r="G638" s="9"/>
    </row>
    <row r="639" ht="22.5" customHeight="1">
      <c r="A639" s="4"/>
      <c r="D639" s="6"/>
      <c r="E639" s="19"/>
      <c r="F639" s="19"/>
      <c r="G639" s="9"/>
    </row>
    <row r="640" ht="22.5" customHeight="1">
      <c r="A640" s="4"/>
      <c r="D640" s="6"/>
      <c r="E640" s="19"/>
      <c r="F640" s="19"/>
      <c r="G640" s="9"/>
    </row>
    <row r="641" ht="22.5" customHeight="1">
      <c r="A641" s="4"/>
      <c r="D641" s="6"/>
      <c r="E641" s="19"/>
      <c r="F641" s="19"/>
      <c r="G641" s="9"/>
    </row>
    <row r="642" ht="22.5" customHeight="1">
      <c r="A642" s="4"/>
      <c r="D642" s="6"/>
      <c r="E642" s="19"/>
      <c r="F642" s="19"/>
      <c r="G642" s="9"/>
    </row>
    <row r="643" ht="22.5" customHeight="1">
      <c r="A643" s="4"/>
      <c r="D643" s="6"/>
      <c r="E643" s="19"/>
      <c r="F643" s="19"/>
      <c r="G643" s="9"/>
    </row>
    <row r="644" ht="22.5" customHeight="1">
      <c r="A644" s="4"/>
      <c r="D644" s="6"/>
      <c r="E644" s="19"/>
      <c r="F644" s="19"/>
      <c r="G644" s="9"/>
    </row>
    <row r="645" ht="22.5" customHeight="1">
      <c r="A645" s="4"/>
      <c r="D645" s="6"/>
      <c r="E645" s="19"/>
      <c r="F645" s="19"/>
      <c r="G645" s="9"/>
    </row>
    <row r="646" ht="22.5" customHeight="1">
      <c r="A646" s="4"/>
      <c r="D646" s="6"/>
      <c r="E646" s="19"/>
      <c r="F646" s="19"/>
      <c r="G646" s="9"/>
    </row>
    <row r="647" ht="22.5" customHeight="1">
      <c r="A647" s="4"/>
      <c r="D647" s="6"/>
      <c r="E647" s="19"/>
      <c r="F647" s="19"/>
      <c r="G647" s="9"/>
    </row>
    <row r="648" ht="22.5" customHeight="1">
      <c r="A648" s="4"/>
      <c r="D648" s="6"/>
      <c r="E648" s="19"/>
      <c r="F648" s="19"/>
      <c r="G648" s="9"/>
    </row>
    <row r="649" ht="22.5" customHeight="1">
      <c r="A649" s="4"/>
      <c r="D649" s="6"/>
      <c r="E649" s="19"/>
      <c r="F649" s="19"/>
      <c r="G649" s="9"/>
    </row>
    <row r="650" ht="22.5" customHeight="1">
      <c r="A650" s="4"/>
      <c r="D650" s="6"/>
      <c r="E650" s="19"/>
      <c r="F650" s="19"/>
      <c r="G650" s="9"/>
    </row>
    <row r="651" ht="22.5" customHeight="1">
      <c r="A651" s="4"/>
      <c r="D651" s="6"/>
      <c r="E651" s="19"/>
      <c r="F651" s="19"/>
      <c r="G651" s="9"/>
    </row>
    <row r="652" ht="22.5" customHeight="1">
      <c r="A652" s="4"/>
      <c r="D652" s="6"/>
      <c r="E652" s="19"/>
      <c r="F652" s="19"/>
      <c r="G652" s="9"/>
    </row>
    <row r="653" ht="22.5" customHeight="1">
      <c r="A653" s="4"/>
      <c r="D653" s="6"/>
      <c r="E653" s="19"/>
      <c r="F653" s="19"/>
      <c r="G653" s="9"/>
    </row>
    <row r="654" ht="22.5" customHeight="1">
      <c r="A654" s="4"/>
      <c r="D654" s="6"/>
      <c r="E654" s="19"/>
      <c r="F654" s="19"/>
      <c r="G654" s="9"/>
    </row>
    <row r="655" ht="22.5" customHeight="1">
      <c r="A655" s="4"/>
      <c r="D655" s="6"/>
      <c r="E655" s="19"/>
      <c r="F655" s="19"/>
      <c r="G655" s="9"/>
    </row>
    <row r="656" ht="22.5" customHeight="1">
      <c r="A656" s="4"/>
      <c r="D656" s="6"/>
      <c r="E656" s="19"/>
      <c r="F656" s="19"/>
      <c r="G656" s="9"/>
    </row>
    <row r="657" ht="22.5" customHeight="1">
      <c r="A657" s="4"/>
      <c r="D657" s="6"/>
      <c r="E657" s="19"/>
      <c r="F657" s="19"/>
      <c r="G657" s="9"/>
    </row>
    <row r="658" ht="22.5" customHeight="1">
      <c r="A658" s="4"/>
      <c r="D658" s="6"/>
      <c r="E658" s="19"/>
      <c r="F658" s="19"/>
      <c r="G658" s="9"/>
    </row>
    <row r="659" ht="22.5" customHeight="1">
      <c r="A659" s="4"/>
      <c r="D659" s="6"/>
      <c r="E659" s="19"/>
      <c r="F659" s="19"/>
      <c r="G659" s="9"/>
    </row>
    <row r="660" ht="22.5" customHeight="1">
      <c r="A660" s="4"/>
      <c r="D660" s="6"/>
      <c r="E660" s="19"/>
      <c r="F660" s="19"/>
      <c r="G660" s="9"/>
    </row>
    <row r="661" ht="22.5" customHeight="1">
      <c r="A661" s="4"/>
      <c r="D661" s="6"/>
      <c r="E661" s="19"/>
      <c r="F661" s="19"/>
      <c r="G661" s="9"/>
    </row>
    <row r="662" ht="22.5" customHeight="1">
      <c r="A662" s="4"/>
      <c r="D662" s="6"/>
      <c r="E662" s="19"/>
      <c r="F662" s="19"/>
      <c r="G662" s="9"/>
    </row>
    <row r="663" ht="22.5" customHeight="1">
      <c r="A663" s="4"/>
      <c r="D663" s="6"/>
      <c r="E663" s="19"/>
      <c r="F663" s="19"/>
      <c r="G663" s="9"/>
    </row>
    <row r="664" ht="22.5" customHeight="1">
      <c r="A664" s="4"/>
      <c r="D664" s="6"/>
      <c r="E664" s="19"/>
      <c r="F664" s="19"/>
      <c r="G664" s="9"/>
    </row>
    <row r="665" ht="22.5" customHeight="1">
      <c r="A665" s="4"/>
      <c r="D665" s="6"/>
      <c r="E665" s="19"/>
      <c r="F665" s="19"/>
      <c r="G665" s="9"/>
    </row>
    <row r="666" ht="22.5" customHeight="1">
      <c r="A666" s="4"/>
      <c r="D666" s="6"/>
      <c r="E666" s="19"/>
      <c r="F666" s="19"/>
      <c r="G666" s="9"/>
    </row>
    <row r="667" ht="22.5" customHeight="1">
      <c r="A667" s="4"/>
      <c r="D667" s="6"/>
      <c r="E667" s="19"/>
      <c r="F667" s="19"/>
      <c r="G667" s="9"/>
    </row>
    <row r="668" ht="22.5" customHeight="1">
      <c r="A668" s="4"/>
      <c r="D668" s="6"/>
      <c r="E668" s="19"/>
      <c r="F668" s="19"/>
      <c r="G668" s="9"/>
    </row>
    <row r="669" ht="22.5" customHeight="1">
      <c r="A669" s="4"/>
      <c r="D669" s="6"/>
      <c r="E669" s="19"/>
      <c r="F669" s="19"/>
      <c r="G669" s="9"/>
    </row>
    <row r="670" ht="22.5" customHeight="1">
      <c r="A670" s="4"/>
      <c r="D670" s="6"/>
      <c r="E670" s="19"/>
      <c r="F670" s="19"/>
      <c r="G670" s="9"/>
    </row>
    <row r="671" ht="22.5" customHeight="1">
      <c r="A671" s="4"/>
      <c r="D671" s="6"/>
      <c r="E671" s="19"/>
      <c r="F671" s="19"/>
      <c r="G671" s="9"/>
    </row>
    <row r="672" ht="22.5" customHeight="1">
      <c r="A672" s="4"/>
      <c r="D672" s="6"/>
      <c r="E672" s="19"/>
      <c r="F672" s="19"/>
      <c r="G672" s="9"/>
    </row>
    <row r="673" ht="22.5" customHeight="1">
      <c r="A673" s="4"/>
      <c r="D673" s="6"/>
      <c r="E673" s="19"/>
      <c r="F673" s="19"/>
      <c r="G673" s="9"/>
    </row>
    <row r="674" ht="22.5" customHeight="1">
      <c r="A674" s="4"/>
      <c r="D674" s="6"/>
      <c r="E674" s="19"/>
      <c r="F674" s="19"/>
      <c r="G674" s="9"/>
    </row>
    <row r="675" ht="22.5" customHeight="1">
      <c r="A675" s="4"/>
      <c r="D675" s="6"/>
      <c r="E675" s="19"/>
      <c r="F675" s="19"/>
      <c r="G675" s="9"/>
    </row>
    <row r="676" ht="22.5" customHeight="1">
      <c r="A676" s="4"/>
      <c r="D676" s="6"/>
      <c r="E676" s="19"/>
      <c r="F676" s="19"/>
      <c r="G676" s="9"/>
    </row>
    <row r="677" ht="22.5" customHeight="1">
      <c r="A677" s="4"/>
      <c r="D677" s="6"/>
      <c r="E677" s="19"/>
      <c r="F677" s="19"/>
      <c r="G677" s="9"/>
    </row>
    <row r="678" ht="22.5" customHeight="1">
      <c r="A678" s="4"/>
      <c r="D678" s="6"/>
      <c r="E678" s="19"/>
      <c r="F678" s="19"/>
      <c r="G678" s="9"/>
    </row>
    <row r="679" ht="22.5" customHeight="1">
      <c r="A679" s="4"/>
      <c r="D679" s="6"/>
      <c r="E679" s="19"/>
      <c r="F679" s="19"/>
      <c r="G679" s="9"/>
    </row>
    <row r="680" ht="22.5" customHeight="1">
      <c r="A680" s="4"/>
      <c r="D680" s="6"/>
      <c r="E680" s="19"/>
      <c r="F680" s="19"/>
      <c r="G680" s="9"/>
    </row>
    <row r="681" ht="22.5" customHeight="1">
      <c r="A681" s="4"/>
      <c r="D681" s="6"/>
      <c r="E681" s="19"/>
      <c r="F681" s="19"/>
      <c r="G681" s="9"/>
    </row>
    <row r="682" ht="22.5" customHeight="1">
      <c r="A682" s="4"/>
      <c r="D682" s="6"/>
      <c r="E682" s="19"/>
      <c r="F682" s="19"/>
      <c r="G682" s="9"/>
    </row>
    <row r="683" ht="22.5" customHeight="1">
      <c r="A683" s="4"/>
      <c r="D683" s="6"/>
      <c r="E683" s="19"/>
      <c r="F683" s="19"/>
      <c r="G683" s="9"/>
    </row>
    <row r="684" ht="22.5" customHeight="1">
      <c r="A684" s="4"/>
      <c r="D684" s="6"/>
      <c r="E684" s="19"/>
      <c r="F684" s="19"/>
      <c r="G684" s="9"/>
    </row>
    <row r="685" ht="22.5" customHeight="1">
      <c r="A685" s="4"/>
      <c r="D685" s="6"/>
      <c r="E685" s="19"/>
      <c r="F685" s="19"/>
      <c r="G685" s="9"/>
    </row>
    <row r="686" ht="22.5" customHeight="1">
      <c r="A686" s="4"/>
      <c r="D686" s="6"/>
      <c r="E686" s="19"/>
      <c r="F686" s="19"/>
      <c r="G686" s="9"/>
    </row>
    <row r="687" ht="22.5" customHeight="1">
      <c r="A687" s="4"/>
      <c r="D687" s="6"/>
      <c r="E687" s="19"/>
      <c r="F687" s="19"/>
      <c r="G687" s="9"/>
    </row>
    <row r="688" ht="22.5" customHeight="1">
      <c r="A688" s="4"/>
      <c r="D688" s="6"/>
      <c r="E688" s="19"/>
      <c r="F688" s="19"/>
      <c r="G688" s="9"/>
    </row>
    <row r="689" ht="22.5" customHeight="1">
      <c r="A689" s="4"/>
      <c r="D689" s="6"/>
      <c r="E689" s="19"/>
      <c r="F689" s="19"/>
      <c r="G689" s="9"/>
    </row>
    <row r="690" ht="22.5" customHeight="1">
      <c r="A690" s="4"/>
      <c r="D690" s="6"/>
      <c r="E690" s="19"/>
      <c r="F690" s="19"/>
      <c r="G690" s="9"/>
    </row>
    <row r="691" ht="22.5" customHeight="1">
      <c r="A691" s="4"/>
      <c r="D691" s="6"/>
      <c r="E691" s="19"/>
      <c r="F691" s="19"/>
      <c r="G691" s="9"/>
    </row>
    <row r="692" ht="22.5" customHeight="1">
      <c r="A692" s="4"/>
      <c r="D692" s="6"/>
      <c r="E692" s="19"/>
      <c r="F692" s="19"/>
      <c r="G692" s="9"/>
    </row>
    <row r="693" ht="22.5" customHeight="1">
      <c r="A693" s="4"/>
      <c r="D693" s="6"/>
      <c r="E693" s="19"/>
      <c r="F693" s="19"/>
      <c r="G693" s="9"/>
    </row>
    <row r="694" ht="22.5" customHeight="1">
      <c r="A694" s="4"/>
      <c r="D694" s="6"/>
      <c r="E694" s="19"/>
      <c r="F694" s="19"/>
      <c r="G694" s="9"/>
    </row>
    <row r="695" ht="22.5" customHeight="1">
      <c r="A695" s="4"/>
      <c r="D695" s="6"/>
      <c r="E695" s="19"/>
      <c r="F695" s="19"/>
      <c r="G695" s="9"/>
    </row>
    <row r="696" ht="22.5" customHeight="1">
      <c r="A696" s="4"/>
      <c r="D696" s="6"/>
      <c r="E696" s="19"/>
      <c r="F696" s="19"/>
      <c r="G696" s="9"/>
    </row>
    <row r="697" ht="22.5" customHeight="1">
      <c r="A697" s="4"/>
      <c r="D697" s="6"/>
      <c r="E697" s="19"/>
      <c r="F697" s="19"/>
      <c r="G697" s="9"/>
    </row>
    <row r="698" ht="22.5" customHeight="1">
      <c r="A698" s="4"/>
      <c r="D698" s="6"/>
      <c r="E698" s="19"/>
      <c r="F698" s="19"/>
      <c r="G698" s="9"/>
    </row>
    <row r="699" ht="22.5" customHeight="1">
      <c r="A699" s="4"/>
      <c r="D699" s="6"/>
      <c r="E699" s="19"/>
      <c r="F699" s="19"/>
      <c r="G699" s="9"/>
    </row>
    <row r="700" ht="22.5" customHeight="1">
      <c r="A700" s="4"/>
      <c r="D700" s="6"/>
      <c r="E700" s="19"/>
      <c r="F700" s="19"/>
      <c r="G700" s="9"/>
    </row>
    <row r="701" ht="22.5" customHeight="1">
      <c r="A701" s="4"/>
      <c r="D701" s="6"/>
      <c r="E701" s="19"/>
      <c r="F701" s="19"/>
      <c r="G701" s="9"/>
    </row>
    <row r="702" ht="22.5" customHeight="1">
      <c r="A702" s="4"/>
      <c r="D702" s="6"/>
      <c r="E702" s="19"/>
      <c r="F702" s="19"/>
      <c r="G702" s="9"/>
    </row>
    <row r="703" ht="22.5" customHeight="1">
      <c r="A703" s="4"/>
      <c r="D703" s="6"/>
      <c r="E703" s="19"/>
      <c r="F703" s="19"/>
      <c r="G703" s="9"/>
    </row>
    <row r="704" ht="22.5" customHeight="1">
      <c r="A704" s="4"/>
      <c r="D704" s="6"/>
      <c r="E704" s="19"/>
      <c r="F704" s="19"/>
      <c r="G704" s="9"/>
    </row>
    <row r="705" ht="22.5" customHeight="1">
      <c r="A705" s="4"/>
      <c r="D705" s="6"/>
      <c r="E705" s="19"/>
      <c r="F705" s="19"/>
      <c r="G705" s="9"/>
    </row>
    <row r="706" ht="22.5" customHeight="1">
      <c r="A706" s="4"/>
      <c r="D706" s="6"/>
      <c r="E706" s="19"/>
      <c r="F706" s="19"/>
      <c r="G706" s="9"/>
    </row>
    <row r="707" ht="22.5" customHeight="1">
      <c r="A707" s="4"/>
      <c r="D707" s="6"/>
      <c r="E707" s="19"/>
      <c r="F707" s="19"/>
      <c r="G707" s="9"/>
    </row>
    <row r="708" ht="22.5" customHeight="1">
      <c r="A708" s="4"/>
      <c r="D708" s="6"/>
      <c r="E708" s="19"/>
      <c r="F708" s="19"/>
      <c r="G708" s="9"/>
    </row>
    <row r="709" ht="22.5" customHeight="1">
      <c r="A709" s="4"/>
      <c r="D709" s="6"/>
      <c r="E709" s="19"/>
      <c r="F709" s="19"/>
      <c r="G709" s="9"/>
    </row>
    <row r="710" ht="22.5" customHeight="1">
      <c r="A710" s="4"/>
      <c r="D710" s="6"/>
      <c r="E710" s="19"/>
      <c r="F710" s="19"/>
      <c r="G710" s="9"/>
    </row>
    <row r="711" ht="22.5" customHeight="1">
      <c r="A711" s="4"/>
      <c r="D711" s="6"/>
      <c r="E711" s="19"/>
      <c r="F711" s="19"/>
      <c r="G711" s="9"/>
    </row>
    <row r="712" ht="22.5" customHeight="1">
      <c r="A712" s="4"/>
      <c r="D712" s="6"/>
      <c r="E712" s="19"/>
      <c r="F712" s="19"/>
      <c r="G712" s="9"/>
    </row>
    <row r="713" ht="22.5" customHeight="1">
      <c r="A713" s="4"/>
      <c r="D713" s="6"/>
      <c r="E713" s="19"/>
      <c r="F713" s="19"/>
      <c r="G713" s="9"/>
    </row>
    <row r="714" ht="22.5" customHeight="1">
      <c r="A714" s="4"/>
      <c r="D714" s="6"/>
      <c r="E714" s="19"/>
      <c r="F714" s="19"/>
      <c r="G714" s="9"/>
    </row>
    <row r="715" ht="22.5" customHeight="1">
      <c r="A715" s="4"/>
      <c r="D715" s="6"/>
      <c r="E715" s="19"/>
      <c r="F715" s="19"/>
      <c r="G715" s="9"/>
    </row>
    <row r="716" ht="22.5" customHeight="1">
      <c r="A716" s="4"/>
      <c r="D716" s="6"/>
      <c r="E716" s="19"/>
      <c r="F716" s="19"/>
      <c r="G716" s="9"/>
    </row>
    <row r="717" ht="22.5" customHeight="1">
      <c r="A717" s="4"/>
      <c r="D717" s="6"/>
      <c r="E717" s="19"/>
      <c r="F717" s="19"/>
      <c r="G717" s="9"/>
    </row>
    <row r="718" ht="22.5" customHeight="1">
      <c r="A718" s="4"/>
      <c r="D718" s="6"/>
      <c r="E718" s="19"/>
      <c r="F718" s="19"/>
      <c r="G718" s="9"/>
    </row>
    <row r="719" ht="22.5" customHeight="1">
      <c r="A719" s="4"/>
      <c r="D719" s="6"/>
      <c r="E719" s="19"/>
      <c r="F719" s="19"/>
      <c r="G719" s="9"/>
    </row>
    <row r="720" ht="22.5" customHeight="1">
      <c r="A720" s="4"/>
      <c r="D720" s="6"/>
      <c r="E720" s="19"/>
      <c r="F720" s="19"/>
      <c r="G720" s="9"/>
    </row>
    <row r="721" ht="22.5" customHeight="1">
      <c r="A721" s="4"/>
      <c r="D721" s="6"/>
      <c r="E721" s="19"/>
      <c r="F721" s="19"/>
      <c r="G721" s="9"/>
    </row>
    <row r="722" ht="22.5" customHeight="1">
      <c r="A722" s="4"/>
      <c r="D722" s="6"/>
      <c r="E722" s="19"/>
      <c r="F722" s="19"/>
      <c r="G722" s="9"/>
    </row>
    <row r="723" ht="22.5" customHeight="1">
      <c r="A723" s="4"/>
      <c r="D723" s="6"/>
      <c r="E723" s="19"/>
      <c r="F723" s="19"/>
      <c r="G723" s="9"/>
    </row>
    <row r="724" ht="22.5" customHeight="1">
      <c r="A724" s="4"/>
      <c r="D724" s="6"/>
      <c r="E724" s="19"/>
      <c r="F724" s="19"/>
      <c r="G724" s="9"/>
    </row>
    <row r="725" ht="22.5" customHeight="1">
      <c r="A725" s="4"/>
      <c r="D725" s="6"/>
      <c r="E725" s="19"/>
      <c r="F725" s="19"/>
      <c r="G725" s="9"/>
    </row>
    <row r="726" ht="22.5" customHeight="1">
      <c r="A726" s="4"/>
      <c r="D726" s="6"/>
      <c r="E726" s="19"/>
      <c r="F726" s="19"/>
      <c r="G726" s="9"/>
    </row>
    <row r="727" ht="22.5" customHeight="1">
      <c r="A727" s="4"/>
      <c r="D727" s="6"/>
      <c r="E727" s="19"/>
      <c r="F727" s="19"/>
      <c r="G727" s="9"/>
    </row>
    <row r="728" ht="22.5" customHeight="1">
      <c r="A728" s="4"/>
      <c r="D728" s="6"/>
      <c r="E728" s="19"/>
      <c r="F728" s="19"/>
      <c r="G728" s="9"/>
    </row>
    <row r="729" ht="22.5" customHeight="1">
      <c r="A729" s="4"/>
      <c r="D729" s="6"/>
      <c r="E729" s="19"/>
      <c r="F729" s="19"/>
      <c r="G729" s="9"/>
    </row>
    <row r="730" ht="22.5" customHeight="1">
      <c r="A730" s="4"/>
      <c r="D730" s="6"/>
      <c r="E730" s="19"/>
      <c r="F730" s="19"/>
      <c r="G730" s="9"/>
    </row>
    <row r="731" ht="22.5" customHeight="1">
      <c r="A731" s="4"/>
      <c r="D731" s="6"/>
      <c r="E731" s="19"/>
      <c r="F731" s="19"/>
      <c r="G731" s="9"/>
    </row>
    <row r="732" ht="22.5" customHeight="1">
      <c r="A732" s="4"/>
      <c r="D732" s="6"/>
      <c r="E732" s="19"/>
      <c r="F732" s="19"/>
      <c r="G732" s="9"/>
    </row>
    <row r="733" ht="22.5" customHeight="1">
      <c r="A733" s="4"/>
      <c r="D733" s="6"/>
      <c r="E733" s="19"/>
      <c r="F733" s="19"/>
      <c r="G733" s="9"/>
    </row>
    <row r="734" ht="22.5" customHeight="1">
      <c r="A734" s="4"/>
      <c r="D734" s="6"/>
      <c r="E734" s="19"/>
      <c r="F734" s="19"/>
      <c r="G734" s="9"/>
    </row>
    <row r="735" ht="22.5" customHeight="1">
      <c r="A735" s="4"/>
      <c r="D735" s="6"/>
      <c r="E735" s="19"/>
      <c r="F735" s="19"/>
      <c r="G735" s="9"/>
    </row>
    <row r="736" ht="22.5" customHeight="1">
      <c r="A736" s="4"/>
      <c r="D736" s="6"/>
      <c r="E736" s="19"/>
      <c r="F736" s="19"/>
      <c r="G736" s="9"/>
    </row>
    <row r="737" ht="22.5" customHeight="1">
      <c r="A737" s="4"/>
      <c r="D737" s="6"/>
      <c r="E737" s="19"/>
      <c r="F737" s="19"/>
      <c r="G737" s="9"/>
    </row>
    <row r="738" ht="22.5" customHeight="1">
      <c r="A738" s="4"/>
      <c r="D738" s="6"/>
      <c r="E738" s="19"/>
      <c r="F738" s="19"/>
      <c r="G738" s="9"/>
    </row>
    <row r="739" ht="22.5" customHeight="1">
      <c r="A739" s="4"/>
      <c r="D739" s="6"/>
      <c r="E739" s="19"/>
      <c r="F739" s="19"/>
      <c r="G739" s="9"/>
    </row>
    <row r="740" ht="22.5" customHeight="1">
      <c r="A740" s="4"/>
      <c r="D740" s="6"/>
      <c r="E740" s="19"/>
      <c r="F740" s="19"/>
      <c r="G740" s="9"/>
    </row>
    <row r="741" ht="22.5" customHeight="1">
      <c r="A741" s="4"/>
      <c r="D741" s="6"/>
      <c r="E741" s="19"/>
      <c r="F741" s="19"/>
      <c r="G741" s="9"/>
    </row>
    <row r="742" ht="22.5" customHeight="1">
      <c r="A742" s="4"/>
      <c r="D742" s="6"/>
      <c r="E742" s="19"/>
      <c r="F742" s="19"/>
      <c r="G742" s="9"/>
    </row>
    <row r="743" ht="22.5" customHeight="1">
      <c r="A743" s="4"/>
      <c r="D743" s="6"/>
      <c r="E743" s="19"/>
      <c r="F743" s="19"/>
      <c r="G743" s="9"/>
    </row>
    <row r="744" ht="22.5" customHeight="1">
      <c r="A744" s="4"/>
      <c r="D744" s="6"/>
      <c r="E744" s="19"/>
      <c r="F744" s="19"/>
      <c r="G744" s="9"/>
    </row>
    <row r="745" ht="22.5" customHeight="1">
      <c r="A745" s="4"/>
      <c r="D745" s="6"/>
      <c r="E745" s="19"/>
      <c r="F745" s="19"/>
      <c r="G745" s="9"/>
    </row>
    <row r="746" ht="22.5" customHeight="1">
      <c r="A746" s="4"/>
      <c r="D746" s="6"/>
      <c r="E746" s="19"/>
      <c r="F746" s="19"/>
      <c r="G746" s="9"/>
    </row>
    <row r="747" ht="22.5" customHeight="1">
      <c r="A747" s="4"/>
      <c r="D747" s="6"/>
      <c r="E747" s="19"/>
      <c r="F747" s="19"/>
      <c r="G747" s="9"/>
    </row>
    <row r="748" ht="22.5" customHeight="1">
      <c r="A748" s="4"/>
      <c r="D748" s="6"/>
      <c r="E748" s="19"/>
      <c r="F748" s="19"/>
      <c r="G748" s="9"/>
    </row>
    <row r="749" ht="22.5" customHeight="1">
      <c r="A749" s="4"/>
      <c r="D749" s="6"/>
      <c r="E749" s="19"/>
      <c r="F749" s="19"/>
      <c r="G749" s="9"/>
    </row>
    <row r="750" ht="22.5" customHeight="1">
      <c r="A750" s="4"/>
      <c r="D750" s="6"/>
      <c r="E750" s="19"/>
      <c r="F750" s="19"/>
      <c r="G750" s="9"/>
    </row>
    <row r="751" ht="22.5" customHeight="1">
      <c r="A751" s="4"/>
      <c r="D751" s="6"/>
      <c r="E751" s="19"/>
      <c r="F751" s="19"/>
      <c r="G751" s="9"/>
    </row>
    <row r="752" ht="22.5" customHeight="1">
      <c r="A752" s="4"/>
      <c r="D752" s="6"/>
      <c r="E752" s="19"/>
      <c r="F752" s="19"/>
      <c r="G752" s="9"/>
    </row>
    <row r="753" ht="22.5" customHeight="1">
      <c r="A753" s="4"/>
      <c r="D753" s="6"/>
      <c r="E753" s="19"/>
      <c r="F753" s="19"/>
      <c r="G753" s="9"/>
    </row>
    <row r="754" ht="22.5" customHeight="1">
      <c r="A754" s="4"/>
      <c r="D754" s="6"/>
      <c r="E754" s="19"/>
      <c r="F754" s="19"/>
      <c r="G754" s="9"/>
    </row>
    <row r="755" ht="22.5" customHeight="1">
      <c r="A755" s="4"/>
      <c r="D755" s="6"/>
      <c r="E755" s="19"/>
      <c r="F755" s="19"/>
      <c r="G755" s="9"/>
    </row>
    <row r="756" ht="22.5" customHeight="1">
      <c r="A756" s="4"/>
      <c r="D756" s="6"/>
      <c r="E756" s="19"/>
      <c r="F756" s="19"/>
      <c r="G756" s="9"/>
    </row>
    <row r="757" ht="22.5" customHeight="1">
      <c r="A757" s="4"/>
      <c r="D757" s="6"/>
      <c r="E757" s="19"/>
      <c r="F757" s="19"/>
      <c r="G757" s="9"/>
    </row>
    <row r="758" ht="22.5" customHeight="1">
      <c r="A758" s="4"/>
      <c r="D758" s="6"/>
      <c r="E758" s="19"/>
      <c r="F758" s="19"/>
      <c r="G758" s="9"/>
    </row>
    <row r="759" ht="22.5" customHeight="1">
      <c r="A759" s="4"/>
      <c r="D759" s="6"/>
      <c r="E759" s="19"/>
      <c r="F759" s="19"/>
      <c r="G759" s="9"/>
    </row>
    <row r="760" ht="22.5" customHeight="1">
      <c r="A760" s="4"/>
      <c r="D760" s="6"/>
      <c r="E760" s="19"/>
      <c r="F760" s="19"/>
      <c r="G760" s="9"/>
    </row>
    <row r="761" ht="22.5" customHeight="1">
      <c r="A761" s="4"/>
      <c r="D761" s="6"/>
      <c r="E761" s="19"/>
      <c r="F761" s="19"/>
      <c r="G761" s="9"/>
    </row>
    <row r="762" ht="22.5" customHeight="1">
      <c r="A762" s="4"/>
      <c r="D762" s="6"/>
      <c r="E762" s="19"/>
      <c r="F762" s="19"/>
      <c r="G762" s="9"/>
    </row>
    <row r="763" ht="22.5" customHeight="1">
      <c r="A763" s="4"/>
      <c r="D763" s="6"/>
      <c r="E763" s="19"/>
      <c r="F763" s="19"/>
      <c r="G763" s="9"/>
    </row>
    <row r="764" ht="22.5" customHeight="1">
      <c r="A764" s="4"/>
      <c r="D764" s="6"/>
      <c r="E764" s="19"/>
      <c r="F764" s="19"/>
      <c r="G764" s="9"/>
    </row>
    <row r="765" ht="22.5" customHeight="1">
      <c r="A765" s="4"/>
      <c r="D765" s="6"/>
      <c r="E765" s="19"/>
      <c r="F765" s="19"/>
      <c r="G765" s="9"/>
    </row>
    <row r="766" ht="22.5" customHeight="1">
      <c r="A766" s="4"/>
      <c r="D766" s="6"/>
      <c r="E766" s="19"/>
      <c r="F766" s="19"/>
      <c r="G766" s="9"/>
    </row>
    <row r="767" ht="22.5" customHeight="1">
      <c r="A767" s="4"/>
      <c r="D767" s="6"/>
      <c r="E767" s="19"/>
      <c r="F767" s="19"/>
      <c r="G767" s="9"/>
    </row>
    <row r="768" ht="22.5" customHeight="1">
      <c r="A768" s="4"/>
      <c r="D768" s="6"/>
      <c r="E768" s="19"/>
      <c r="F768" s="19"/>
      <c r="G768" s="9"/>
    </row>
    <row r="769" ht="22.5" customHeight="1">
      <c r="A769" s="4"/>
      <c r="D769" s="6"/>
      <c r="E769" s="19"/>
      <c r="F769" s="19"/>
      <c r="G769" s="9"/>
    </row>
    <row r="770" ht="22.5" customHeight="1">
      <c r="A770" s="4"/>
      <c r="D770" s="6"/>
      <c r="E770" s="19"/>
      <c r="F770" s="19"/>
      <c r="G770" s="9"/>
    </row>
    <row r="771" ht="22.5" customHeight="1">
      <c r="A771" s="4"/>
      <c r="D771" s="6"/>
      <c r="E771" s="19"/>
      <c r="F771" s="19"/>
      <c r="G771" s="9"/>
    </row>
    <row r="772" ht="22.5" customHeight="1">
      <c r="A772" s="4"/>
      <c r="D772" s="6"/>
      <c r="E772" s="19"/>
      <c r="F772" s="19"/>
      <c r="G772" s="9"/>
    </row>
    <row r="773" ht="22.5" customHeight="1">
      <c r="A773" s="4"/>
      <c r="D773" s="6"/>
      <c r="E773" s="19"/>
      <c r="F773" s="19"/>
      <c r="G773" s="9"/>
    </row>
    <row r="774" ht="22.5" customHeight="1">
      <c r="A774" s="4"/>
      <c r="D774" s="6"/>
      <c r="E774" s="19"/>
      <c r="F774" s="19"/>
      <c r="G774" s="9"/>
    </row>
    <row r="775" ht="22.5" customHeight="1">
      <c r="A775" s="4"/>
      <c r="D775" s="6"/>
      <c r="E775" s="19"/>
      <c r="F775" s="19"/>
      <c r="G775" s="9"/>
    </row>
    <row r="776" ht="22.5" customHeight="1">
      <c r="A776" s="4"/>
      <c r="D776" s="6"/>
      <c r="E776" s="19"/>
      <c r="F776" s="19"/>
      <c r="G776" s="9"/>
    </row>
    <row r="777" ht="22.5" customHeight="1">
      <c r="A777" s="4"/>
      <c r="D777" s="6"/>
      <c r="E777" s="19"/>
      <c r="F777" s="19"/>
      <c r="G777" s="9"/>
    </row>
    <row r="778" ht="22.5" customHeight="1">
      <c r="A778" s="4"/>
      <c r="D778" s="6"/>
      <c r="E778" s="19"/>
      <c r="F778" s="19"/>
      <c r="G778" s="9"/>
    </row>
    <row r="779" ht="22.5" customHeight="1">
      <c r="A779" s="4"/>
      <c r="D779" s="6"/>
      <c r="E779" s="19"/>
      <c r="F779" s="19"/>
      <c r="G779" s="9"/>
    </row>
    <row r="780" ht="22.5" customHeight="1">
      <c r="A780" s="4"/>
      <c r="D780" s="6"/>
      <c r="E780" s="19"/>
      <c r="F780" s="19"/>
      <c r="G780" s="9"/>
    </row>
    <row r="781" ht="22.5" customHeight="1">
      <c r="A781" s="4"/>
      <c r="D781" s="6"/>
      <c r="E781" s="19"/>
      <c r="F781" s="19"/>
      <c r="G781" s="9"/>
    </row>
    <row r="782" ht="22.5" customHeight="1">
      <c r="A782" s="4"/>
      <c r="D782" s="6"/>
      <c r="E782" s="19"/>
      <c r="F782" s="19"/>
      <c r="G782" s="9"/>
    </row>
    <row r="783" ht="22.5" customHeight="1">
      <c r="A783" s="4"/>
      <c r="D783" s="6"/>
      <c r="E783" s="19"/>
      <c r="F783" s="19"/>
      <c r="G783" s="9"/>
    </row>
    <row r="784" ht="22.5" customHeight="1">
      <c r="A784" s="4"/>
      <c r="D784" s="6"/>
      <c r="E784" s="19"/>
      <c r="F784" s="19"/>
      <c r="G784" s="9"/>
    </row>
    <row r="785" ht="22.5" customHeight="1">
      <c r="A785" s="4"/>
      <c r="D785" s="6"/>
      <c r="E785" s="19"/>
      <c r="F785" s="19"/>
      <c r="G785" s="9"/>
    </row>
    <row r="786" ht="22.5" customHeight="1">
      <c r="A786" s="4"/>
      <c r="D786" s="6"/>
      <c r="E786" s="19"/>
      <c r="F786" s="19"/>
      <c r="G786" s="9"/>
    </row>
    <row r="787" ht="22.5" customHeight="1">
      <c r="A787" s="4"/>
      <c r="D787" s="6"/>
      <c r="E787" s="19"/>
      <c r="F787" s="19"/>
      <c r="G787" s="9"/>
    </row>
    <row r="788" ht="22.5" customHeight="1">
      <c r="A788" s="4"/>
      <c r="D788" s="6"/>
      <c r="E788" s="19"/>
      <c r="F788" s="19"/>
      <c r="G788" s="9"/>
    </row>
    <row r="789" ht="22.5" customHeight="1">
      <c r="A789" s="4"/>
      <c r="D789" s="6"/>
      <c r="E789" s="19"/>
      <c r="F789" s="19"/>
      <c r="G789" s="9"/>
    </row>
    <row r="790" ht="22.5" customHeight="1">
      <c r="A790" s="4"/>
      <c r="D790" s="6"/>
      <c r="E790" s="19"/>
      <c r="F790" s="19"/>
      <c r="G790" s="9"/>
    </row>
    <row r="791" ht="22.5" customHeight="1">
      <c r="A791" s="4"/>
      <c r="D791" s="6"/>
      <c r="E791" s="19"/>
      <c r="F791" s="19"/>
      <c r="G791" s="9"/>
    </row>
    <row r="792" ht="22.5" customHeight="1">
      <c r="A792" s="4"/>
      <c r="D792" s="6"/>
      <c r="E792" s="19"/>
      <c r="F792" s="19"/>
      <c r="G792" s="9"/>
    </row>
    <row r="793" ht="22.5" customHeight="1">
      <c r="A793" s="4"/>
      <c r="D793" s="6"/>
      <c r="E793" s="19"/>
      <c r="F793" s="19"/>
      <c r="G793" s="9"/>
    </row>
    <row r="794" ht="22.5" customHeight="1">
      <c r="A794" s="4"/>
      <c r="D794" s="6"/>
      <c r="E794" s="19"/>
      <c r="F794" s="19"/>
      <c r="G794" s="9"/>
    </row>
    <row r="795" ht="22.5" customHeight="1">
      <c r="A795" s="4"/>
      <c r="D795" s="6"/>
      <c r="E795" s="19"/>
      <c r="F795" s="19"/>
      <c r="G795" s="9"/>
    </row>
    <row r="796" ht="22.5" customHeight="1">
      <c r="A796" s="4"/>
      <c r="D796" s="6"/>
      <c r="E796" s="19"/>
      <c r="F796" s="19"/>
      <c r="G796" s="9"/>
    </row>
    <row r="797" ht="22.5" customHeight="1">
      <c r="A797" s="4"/>
      <c r="D797" s="6"/>
      <c r="E797" s="19"/>
      <c r="F797" s="19"/>
      <c r="G797" s="9"/>
    </row>
    <row r="798" ht="22.5" customHeight="1">
      <c r="A798" s="4"/>
      <c r="D798" s="6"/>
      <c r="E798" s="19"/>
      <c r="F798" s="19"/>
      <c r="G798" s="9"/>
    </row>
    <row r="799" ht="22.5" customHeight="1">
      <c r="A799" s="4"/>
      <c r="D799" s="6"/>
      <c r="E799" s="19"/>
      <c r="F799" s="19"/>
      <c r="G799" s="9"/>
    </row>
    <row r="800" ht="22.5" customHeight="1">
      <c r="A800" s="4"/>
      <c r="D800" s="6"/>
      <c r="E800" s="19"/>
      <c r="F800" s="19"/>
      <c r="G800" s="9"/>
    </row>
    <row r="801" ht="22.5" customHeight="1">
      <c r="A801" s="4"/>
      <c r="D801" s="6"/>
      <c r="E801" s="19"/>
      <c r="F801" s="19"/>
      <c r="G801" s="9"/>
    </row>
    <row r="802" ht="22.5" customHeight="1">
      <c r="A802" s="4"/>
      <c r="D802" s="6"/>
      <c r="E802" s="19"/>
      <c r="F802" s="19"/>
      <c r="G802" s="9"/>
    </row>
    <row r="803" ht="22.5" customHeight="1">
      <c r="A803" s="4"/>
      <c r="D803" s="6"/>
      <c r="E803" s="19"/>
      <c r="F803" s="19"/>
      <c r="G803" s="9"/>
    </row>
    <row r="804" ht="22.5" customHeight="1">
      <c r="A804" s="4"/>
      <c r="D804" s="6"/>
      <c r="E804" s="19"/>
      <c r="F804" s="19"/>
      <c r="G804" s="9"/>
    </row>
    <row r="805" ht="22.5" customHeight="1">
      <c r="A805" s="4"/>
      <c r="D805" s="6"/>
      <c r="E805" s="19"/>
      <c r="F805" s="19"/>
      <c r="G805" s="9"/>
    </row>
    <row r="806" ht="22.5" customHeight="1">
      <c r="A806" s="4"/>
      <c r="D806" s="6"/>
      <c r="E806" s="19"/>
      <c r="F806" s="19"/>
      <c r="G806" s="9"/>
    </row>
    <row r="807" ht="22.5" customHeight="1">
      <c r="A807" s="4"/>
      <c r="D807" s="6"/>
      <c r="E807" s="19"/>
      <c r="F807" s="19"/>
      <c r="G807" s="9"/>
    </row>
    <row r="808" ht="22.5" customHeight="1">
      <c r="A808" s="4"/>
      <c r="D808" s="6"/>
      <c r="E808" s="19"/>
      <c r="F808" s="19"/>
      <c r="G808" s="9"/>
    </row>
    <row r="809" ht="22.5" customHeight="1">
      <c r="A809" s="4"/>
      <c r="D809" s="6"/>
      <c r="E809" s="19"/>
      <c r="F809" s="19"/>
      <c r="G809" s="9"/>
    </row>
    <row r="810" ht="22.5" customHeight="1">
      <c r="A810" s="4"/>
      <c r="D810" s="6"/>
      <c r="E810" s="19"/>
      <c r="F810" s="19"/>
      <c r="G810" s="9"/>
    </row>
    <row r="811" ht="22.5" customHeight="1">
      <c r="A811" s="4"/>
      <c r="D811" s="6"/>
      <c r="E811" s="19"/>
      <c r="F811" s="19"/>
      <c r="G811" s="9"/>
    </row>
    <row r="812" ht="22.5" customHeight="1">
      <c r="A812" s="4"/>
      <c r="D812" s="6"/>
      <c r="E812" s="19"/>
      <c r="F812" s="19"/>
      <c r="G812" s="9"/>
    </row>
    <row r="813" ht="22.5" customHeight="1">
      <c r="A813" s="4"/>
      <c r="D813" s="6"/>
      <c r="E813" s="19"/>
      <c r="F813" s="19"/>
      <c r="G813" s="9"/>
    </row>
    <row r="814" ht="22.5" customHeight="1">
      <c r="A814" s="4"/>
      <c r="D814" s="6"/>
      <c r="E814" s="19"/>
      <c r="F814" s="19"/>
      <c r="G814" s="9"/>
    </row>
    <row r="815" ht="22.5" customHeight="1">
      <c r="A815" s="4"/>
      <c r="D815" s="6"/>
      <c r="E815" s="19"/>
      <c r="F815" s="19"/>
      <c r="G815" s="9"/>
    </row>
    <row r="816" ht="22.5" customHeight="1">
      <c r="A816" s="4"/>
      <c r="D816" s="6"/>
      <c r="E816" s="19"/>
      <c r="F816" s="19"/>
      <c r="G816" s="9"/>
    </row>
    <row r="817" ht="22.5" customHeight="1">
      <c r="A817" s="4"/>
      <c r="D817" s="6"/>
      <c r="E817" s="19"/>
      <c r="F817" s="19"/>
      <c r="G817" s="9"/>
    </row>
    <row r="818" ht="22.5" customHeight="1">
      <c r="A818" s="4"/>
      <c r="D818" s="6"/>
      <c r="E818" s="19"/>
      <c r="F818" s="19"/>
      <c r="G818" s="9"/>
    </row>
    <row r="819" ht="22.5" customHeight="1">
      <c r="A819" s="4"/>
      <c r="D819" s="6"/>
      <c r="E819" s="19"/>
      <c r="F819" s="19"/>
      <c r="G819" s="9"/>
    </row>
    <row r="820" ht="22.5" customHeight="1">
      <c r="A820" s="4"/>
      <c r="D820" s="6"/>
      <c r="E820" s="19"/>
      <c r="F820" s="19"/>
      <c r="G820" s="9"/>
    </row>
    <row r="821" ht="22.5" customHeight="1">
      <c r="A821" s="4"/>
      <c r="D821" s="6"/>
      <c r="E821" s="19"/>
      <c r="F821" s="19"/>
      <c r="G821" s="9"/>
    </row>
    <row r="822" ht="22.5" customHeight="1">
      <c r="A822" s="4"/>
      <c r="D822" s="6"/>
      <c r="E822" s="19"/>
      <c r="F822" s="19"/>
      <c r="G822" s="9"/>
    </row>
    <row r="823" ht="22.5" customHeight="1">
      <c r="A823" s="4"/>
      <c r="D823" s="6"/>
      <c r="E823" s="19"/>
      <c r="F823" s="19"/>
      <c r="G823" s="9"/>
    </row>
    <row r="824" ht="22.5" customHeight="1">
      <c r="A824" s="4"/>
      <c r="D824" s="6"/>
      <c r="E824" s="19"/>
      <c r="F824" s="19"/>
      <c r="G824" s="9"/>
    </row>
    <row r="825" ht="22.5" customHeight="1">
      <c r="A825" s="4"/>
      <c r="D825" s="6"/>
      <c r="E825" s="19"/>
      <c r="F825" s="19"/>
      <c r="G825" s="9"/>
    </row>
    <row r="826" ht="22.5" customHeight="1">
      <c r="A826" s="4"/>
      <c r="D826" s="6"/>
      <c r="E826" s="19"/>
      <c r="F826" s="19"/>
      <c r="G826" s="9"/>
    </row>
    <row r="827" ht="22.5" customHeight="1">
      <c r="A827" s="4"/>
      <c r="D827" s="6"/>
      <c r="E827" s="19"/>
      <c r="F827" s="19"/>
      <c r="G827" s="9"/>
    </row>
    <row r="828" ht="22.5" customHeight="1">
      <c r="A828" s="4"/>
      <c r="D828" s="6"/>
      <c r="E828" s="19"/>
      <c r="F828" s="19"/>
      <c r="G828" s="9"/>
    </row>
    <row r="829" ht="22.5" customHeight="1">
      <c r="A829" s="4"/>
      <c r="D829" s="6"/>
      <c r="E829" s="19"/>
      <c r="F829" s="19"/>
      <c r="G829" s="9"/>
    </row>
    <row r="830" ht="22.5" customHeight="1">
      <c r="A830" s="4"/>
      <c r="D830" s="6"/>
      <c r="E830" s="19"/>
      <c r="F830" s="19"/>
      <c r="G830" s="9"/>
    </row>
    <row r="831" ht="22.5" customHeight="1">
      <c r="A831" s="4"/>
      <c r="D831" s="6"/>
      <c r="E831" s="19"/>
      <c r="F831" s="19"/>
      <c r="G831" s="9"/>
    </row>
    <row r="832" ht="22.5" customHeight="1">
      <c r="A832" s="4"/>
      <c r="D832" s="6"/>
      <c r="E832" s="19"/>
      <c r="F832" s="19"/>
      <c r="G832" s="9"/>
    </row>
    <row r="833" ht="22.5" customHeight="1">
      <c r="A833" s="4"/>
      <c r="D833" s="6"/>
      <c r="E833" s="19"/>
      <c r="F833" s="19"/>
      <c r="G833" s="9"/>
    </row>
    <row r="834" ht="22.5" customHeight="1">
      <c r="A834" s="4"/>
      <c r="D834" s="6"/>
      <c r="E834" s="19"/>
      <c r="F834" s="19"/>
      <c r="G834" s="9"/>
    </row>
    <row r="835" ht="22.5" customHeight="1">
      <c r="A835" s="4"/>
      <c r="D835" s="6"/>
      <c r="E835" s="19"/>
      <c r="F835" s="19"/>
      <c r="G835" s="9"/>
    </row>
    <row r="836" ht="22.5" customHeight="1">
      <c r="A836" s="4"/>
      <c r="D836" s="6"/>
      <c r="E836" s="19"/>
      <c r="F836" s="19"/>
      <c r="G836" s="9"/>
    </row>
    <row r="837" ht="22.5" customHeight="1">
      <c r="A837" s="4"/>
      <c r="D837" s="6"/>
      <c r="E837" s="19"/>
      <c r="F837" s="19"/>
      <c r="G837" s="9"/>
    </row>
    <row r="838" ht="22.5" customHeight="1">
      <c r="A838" s="4"/>
      <c r="D838" s="6"/>
      <c r="E838" s="19"/>
      <c r="F838" s="19"/>
      <c r="G838" s="9"/>
    </row>
    <row r="839" ht="22.5" customHeight="1">
      <c r="A839" s="4"/>
      <c r="D839" s="6"/>
      <c r="E839" s="19"/>
      <c r="F839" s="19"/>
      <c r="G839" s="9"/>
    </row>
    <row r="840" ht="22.5" customHeight="1">
      <c r="A840" s="4"/>
      <c r="D840" s="6"/>
      <c r="E840" s="19"/>
      <c r="F840" s="19"/>
      <c r="G840" s="9"/>
    </row>
    <row r="841" ht="22.5" customHeight="1">
      <c r="A841" s="4"/>
      <c r="D841" s="6"/>
      <c r="E841" s="19"/>
      <c r="F841" s="19"/>
      <c r="G841" s="9"/>
    </row>
    <row r="842" ht="22.5" customHeight="1">
      <c r="A842" s="4"/>
      <c r="D842" s="6"/>
      <c r="E842" s="19"/>
      <c r="F842" s="19"/>
      <c r="G842" s="9"/>
    </row>
    <row r="843" ht="22.5" customHeight="1">
      <c r="A843" s="4"/>
      <c r="D843" s="6"/>
      <c r="E843" s="19"/>
      <c r="F843" s="19"/>
      <c r="G843" s="9"/>
    </row>
    <row r="844" ht="22.5" customHeight="1">
      <c r="A844" s="4"/>
      <c r="D844" s="6"/>
      <c r="E844" s="19"/>
      <c r="F844" s="19"/>
      <c r="G844" s="9"/>
    </row>
    <row r="845" ht="22.5" customHeight="1">
      <c r="A845" s="4"/>
      <c r="D845" s="6"/>
      <c r="E845" s="19"/>
      <c r="F845" s="19"/>
      <c r="G845" s="9"/>
    </row>
    <row r="846" ht="22.5" customHeight="1">
      <c r="A846" s="4"/>
      <c r="D846" s="6"/>
      <c r="E846" s="19"/>
      <c r="F846" s="19"/>
      <c r="G846" s="9"/>
    </row>
    <row r="847" ht="22.5" customHeight="1">
      <c r="A847" s="4"/>
      <c r="D847" s="6"/>
      <c r="E847" s="19"/>
      <c r="F847" s="19"/>
      <c r="G847" s="9"/>
    </row>
    <row r="848" ht="22.5" customHeight="1">
      <c r="A848" s="4"/>
      <c r="D848" s="6"/>
      <c r="E848" s="19"/>
      <c r="F848" s="19"/>
      <c r="G848" s="9"/>
    </row>
    <row r="849" ht="22.5" customHeight="1">
      <c r="A849" s="4"/>
      <c r="D849" s="6"/>
      <c r="E849" s="19"/>
      <c r="F849" s="19"/>
      <c r="G849" s="9"/>
    </row>
    <row r="850" ht="22.5" customHeight="1">
      <c r="A850" s="4"/>
      <c r="D850" s="6"/>
      <c r="E850" s="19"/>
      <c r="F850" s="19"/>
      <c r="G850" s="9"/>
    </row>
    <row r="851" ht="22.5" customHeight="1">
      <c r="A851" s="4"/>
      <c r="D851" s="6"/>
      <c r="E851" s="19"/>
      <c r="F851" s="19"/>
      <c r="G851" s="9"/>
    </row>
    <row r="852" ht="22.5" customHeight="1">
      <c r="A852" s="4"/>
      <c r="D852" s="6"/>
      <c r="E852" s="19"/>
      <c r="F852" s="19"/>
      <c r="G852" s="9"/>
    </row>
    <row r="853" ht="22.5" customHeight="1">
      <c r="A853" s="4"/>
      <c r="D853" s="6"/>
      <c r="E853" s="19"/>
      <c r="F853" s="19"/>
      <c r="G853" s="9"/>
    </row>
    <row r="854" ht="22.5" customHeight="1">
      <c r="A854" s="4"/>
      <c r="D854" s="6"/>
      <c r="E854" s="19"/>
      <c r="F854" s="19"/>
      <c r="G854" s="9"/>
    </row>
    <row r="855" ht="22.5" customHeight="1">
      <c r="A855" s="4"/>
      <c r="D855" s="6"/>
      <c r="E855" s="19"/>
      <c r="F855" s="19"/>
      <c r="G855" s="9"/>
    </row>
    <row r="856" ht="22.5" customHeight="1">
      <c r="A856" s="4"/>
      <c r="D856" s="6"/>
      <c r="E856" s="19"/>
      <c r="F856" s="19"/>
      <c r="G856" s="9"/>
    </row>
    <row r="857" ht="22.5" customHeight="1">
      <c r="A857" s="4"/>
      <c r="D857" s="6"/>
      <c r="E857" s="19"/>
      <c r="F857" s="19"/>
      <c r="G857" s="9"/>
    </row>
    <row r="858" ht="22.5" customHeight="1">
      <c r="A858" s="4"/>
      <c r="D858" s="6"/>
      <c r="E858" s="19"/>
      <c r="F858" s="19"/>
      <c r="G858" s="9"/>
    </row>
    <row r="859" ht="22.5" customHeight="1">
      <c r="A859" s="4"/>
      <c r="D859" s="6"/>
      <c r="E859" s="19"/>
      <c r="F859" s="19"/>
      <c r="G859" s="9"/>
    </row>
    <row r="860" ht="22.5" customHeight="1">
      <c r="A860" s="4"/>
      <c r="D860" s="6"/>
      <c r="E860" s="19"/>
      <c r="F860" s="19"/>
      <c r="G860" s="9"/>
    </row>
    <row r="861" ht="22.5" customHeight="1">
      <c r="A861" s="4"/>
      <c r="D861" s="6"/>
      <c r="E861" s="19"/>
      <c r="F861" s="19"/>
      <c r="G861" s="9"/>
    </row>
    <row r="862" ht="22.5" customHeight="1">
      <c r="A862" s="4"/>
      <c r="D862" s="6"/>
      <c r="E862" s="19"/>
      <c r="F862" s="19"/>
      <c r="G862" s="9"/>
    </row>
    <row r="863" ht="22.5" customHeight="1">
      <c r="A863" s="4"/>
      <c r="D863" s="6"/>
      <c r="E863" s="19"/>
      <c r="F863" s="19"/>
      <c r="G863" s="9"/>
    </row>
    <row r="864" ht="22.5" customHeight="1">
      <c r="A864" s="4"/>
      <c r="D864" s="6"/>
      <c r="E864" s="19"/>
      <c r="F864" s="19"/>
      <c r="G864" s="9"/>
    </row>
    <row r="865" ht="22.5" customHeight="1">
      <c r="A865" s="4"/>
      <c r="D865" s="6"/>
      <c r="E865" s="19"/>
      <c r="F865" s="19"/>
      <c r="G865" s="9"/>
    </row>
    <row r="866" ht="22.5" customHeight="1">
      <c r="A866" s="4"/>
      <c r="D866" s="6"/>
      <c r="E866" s="19"/>
      <c r="F866" s="19"/>
      <c r="G866" s="9"/>
    </row>
    <row r="867" ht="22.5" customHeight="1">
      <c r="A867" s="4"/>
      <c r="D867" s="6"/>
      <c r="E867" s="19"/>
      <c r="F867" s="19"/>
      <c r="G867" s="9"/>
    </row>
    <row r="868" ht="22.5" customHeight="1">
      <c r="A868" s="4"/>
      <c r="D868" s="6"/>
      <c r="E868" s="19"/>
      <c r="F868" s="19"/>
      <c r="G868" s="9"/>
    </row>
    <row r="869" ht="22.5" customHeight="1">
      <c r="A869" s="4"/>
      <c r="D869" s="6"/>
      <c r="E869" s="19"/>
      <c r="F869" s="19"/>
      <c r="G869" s="9"/>
    </row>
    <row r="870" ht="22.5" customHeight="1">
      <c r="A870" s="4"/>
      <c r="D870" s="6"/>
      <c r="E870" s="19"/>
      <c r="F870" s="19"/>
      <c r="G870" s="9"/>
    </row>
    <row r="871" ht="22.5" customHeight="1">
      <c r="A871" s="4"/>
      <c r="D871" s="6"/>
      <c r="E871" s="19"/>
      <c r="F871" s="19"/>
      <c r="G871" s="9"/>
    </row>
    <row r="872" ht="22.5" customHeight="1">
      <c r="A872" s="4"/>
      <c r="D872" s="6"/>
      <c r="E872" s="19"/>
      <c r="F872" s="19"/>
      <c r="G872" s="9"/>
    </row>
    <row r="873" ht="22.5" customHeight="1">
      <c r="A873" s="4"/>
      <c r="D873" s="6"/>
      <c r="E873" s="19"/>
      <c r="F873" s="19"/>
      <c r="G873" s="9"/>
    </row>
    <row r="874" ht="22.5" customHeight="1">
      <c r="A874" s="4"/>
      <c r="D874" s="6"/>
      <c r="E874" s="19"/>
      <c r="F874" s="19"/>
      <c r="G874" s="9"/>
    </row>
    <row r="875" ht="22.5" customHeight="1">
      <c r="A875" s="4"/>
      <c r="D875" s="6"/>
      <c r="E875" s="19"/>
      <c r="F875" s="19"/>
      <c r="G875" s="9"/>
    </row>
    <row r="876" ht="22.5" customHeight="1">
      <c r="A876" s="4"/>
      <c r="D876" s="6"/>
      <c r="E876" s="19"/>
      <c r="F876" s="19"/>
      <c r="G876" s="9"/>
    </row>
    <row r="877" ht="22.5" customHeight="1">
      <c r="A877" s="4"/>
      <c r="D877" s="6"/>
      <c r="E877" s="19"/>
      <c r="F877" s="19"/>
      <c r="G877" s="9"/>
    </row>
    <row r="878" ht="22.5" customHeight="1">
      <c r="A878" s="4"/>
      <c r="D878" s="6"/>
      <c r="E878" s="19"/>
      <c r="F878" s="19"/>
      <c r="G878" s="9"/>
    </row>
    <row r="879" ht="22.5" customHeight="1">
      <c r="A879" s="4"/>
      <c r="D879" s="6"/>
      <c r="E879" s="19"/>
      <c r="F879" s="19"/>
      <c r="G879" s="9"/>
    </row>
    <row r="880" ht="22.5" customHeight="1">
      <c r="A880" s="4"/>
      <c r="D880" s="6"/>
      <c r="E880" s="19"/>
      <c r="F880" s="19"/>
      <c r="G880" s="9"/>
    </row>
    <row r="881" ht="22.5" customHeight="1">
      <c r="A881" s="4"/>
      <c r="D881" s="6"/>
      <c r="E881" s="19"/>
      <c r="F881" s="19"/>
      <c r="G881" s="9"/>
    </row>
    <row r="882" ht="22.5" customHeight="1">
      <c r="A882" s="4"/>
      <c r="D882" s="6"/>
      <c r="E882" s="19"/>
      <c r="F882" s="19"/>
      <c r="G882" s="9"/>
    </row>
    <row r="883" ht="22.5" customHeight="1">
      <c r="A883" s="4"/>
      <c r="D883" s="6"/>
      <c r="E883" s="19"/>
      <c r="F883" s="19"/>
      <c r="G883" s="9"/>
    </row>
    <row r="884" ht="22.5" customHeight="1">
      <c r="A884" s="4"/>
      <c r="D884" s="6"/>
      <c r="E884" s="19"/>
      <c r="F884" s="19"/>
      <c r="G884" s="9"/>
    </row>
    <row r="885" ht="22.5" customHeight="1">
      <c r="A885" s="4"/>
      <c r="D885" s="6"/>
      <c r="E885" s="19"/>
      <c r="F885" s="19"/>
      <c r="G885" s="9"/>
    </row>
    <row r="886" ht="22.5" customHeight="1">
      <c r="A886" s="4"/>
      <c r="D886" s="6"/>
      <c r="E886" s="19"/>
      <c r="F886" s="19"/>
      <c r="G886" s="9"/>
    </row>
    <row r="887" ht="22.5" customHeight="1">
      <c r="A887" s="4"/>
      <c r="D887" s="6"/>
      <c r="E887" s="19"/>
      <c r="F887" s="19"/>
      <c r="G887" s="9"/>
    </row>
    <row r="888" ht="22.5" customHeight="1">
      <c r="A888" s="4"/>
      <c r="D888" s="6"/>
      <c r="E888" s="19"/>
      <c r="F888" s="19"/>
      <c r="G888" s="9"/>
    </row>
    <row r="889" ht="22.5" customHeight="1">
      <c r="A889" s="4"/>
      <c r="D889" s="6"/>
      <c r="E889" s="19"/>
      <c r="F889" s="19"/>
      <c r="G889" s="9"/>
    </row>
    <row r="890" ht="22.5" customHeight="1">
      <c r="A890" s="4"/>
      <c r="D890" s="6"/>
      <c r="E890" s="19"/>
      <c r="F890" s="19"/>
      <c r="G890" s="9"/>
    </row>
    <row r="891" ht="22.5" customHeight="1">
      <c r="A891" s="4"/>
      <c r="D891" s="6"/>
      <c r="E891" s="19"/>
      <c r="F891" s="19"/>
      <c r="G891" s="9"/>
    </row>
    <row r="892" ht="22.5" customHeight="1">
      <c r="A892" s="4"/>
      <c r="D892" s="6"/>
      <c r="E892" s="19"/>
      <c r="F892" s="19"/>
      <c r="G892" s="9"/>
    </row>
    <row r="893" ht="22.5" customHeight="1">
      <c r="A893" s="4"/>
      <c r="D893" s="6"/>
      <c r="E893" s="19"/>
      <c r="F893" s="19"/>
      <c r="G893" s="9"/>
    </row>
    <row r="894" ht="22.5" customHeight="1">
      <c r="A894" s="4"/>
      <c r="D894" s="6"/>
      <c r="E894" s="19"/>
      <c r="F894" s="19"/>
      <c r="G894" s="9"/>
    </row>
    <row r="895" ht="22.5" customHeight="1">
      <c r="A895" s="4"/>
      <c r="D895" s="6"/>
      <c r="E895" s="19"/>
      <c r="F895" s="19"/>
      <c r="G895" s="9"/>
    </row>
    <row r="896" ht="22.5" customHeight="1">
      <c r="A896" s="4"/>
      <c r="D896" s="6"/>
      <c r="E896" s="19"/>
      <c r="F896" s="19"/>
      <c r="G896" s="9"/>
    </row>
    <row r="897" ht="22.5" customHeight="1">
      <c r="A897" s="4"/>
      <c r="D897" s="6"/>
      <c r="E897" s="19"/>
      <c r="F897" s="19"/>
      <c r="G897" s="9"/>
    </row>
    <row r="898" ht="22.5" customHeight="1">
      <c r="A898" s="4"/>
      <c r="D898" s="6"/>
      <c r="E898" s="19"/>
      <c r="F898" s="19"/>
      <c r="G898" s="9"/>
    </row>
    <row r="899" ht="22.5" customHeight="1">
      <c r="A899" s="4"/>
      <c r="D899" s="6"/>
      <c r="E899" s="19"/>
      <c r="F899" s="19"/>
      <c r="G899" s="9"/>
    </row>
    <row r="900" ht="22.5" customHeight="1">
      <c r="A900" s="4"/>
      <c r="D900" s="6"/>
      <c r="E900" s="19"/>
      <c r="F900" s="19"/>
      <c r="G900" s="9"/>
    </row>
    <row r="901" ht="22.5" customHeight="1">
      <c r="A901" s="4"/>
      <c r="D901" s="6"/>
      <c r="E901" s="19"/>
      <c r="F901" s="19"/>
      <c r="G901" s="9"/>
    </row>
    <row r="902" ht="22.5" customHeight="1">
      <c r="A902" s="4"/>
      <c r="D902" s="6"/>
      <c r="E902" s="19"/>
      <c r="F902" s="19"/>
      <c r="G902" s="9"/>
    </row>
    <row r="903" ht="22.5" customHeight="1">
      <c r="A903" s="4"/>
      <c r="D903" s="6"/>
      <c r="E903" s="19"/>
      <c r="F903" s="19"/>
      <c r="G903" s="9"/>
    </row>
    <row r="904" ht="22.5" customHeight="1">
      <c r="A904" s="4"/>
      <c r="D904" s="6"/>
      <c r="E904" s="19"/>
      <c r="F904" s="19"/>
      <c r="G904" s="9"/>
    </row>
    <row r="905" ht="22.5" customHeight="1">
      <c r="A905" s="4"/>
      <c r="D905" s="6"/>
      <c r="E905" s="19"/>
      <c r="F905" s="19"/>
      <c r="G905" s="9"/>
    </row>
    <row r="906" ht="22.5" customHeight="1">
      <c r="A906" s="4"/>
      <c r="D906" s="6"/>
      <c r="E906" s="19"/>
      <c r="F906" s="19"/>
      <c r="G906" s="9"/>
    </row>
    <row r="907" ht="22.5" customHeight="1">
      <c r="A907" s="4"/>
      <c r="D907" s="6"/>
      <c r="E907" s="19"/>
      <c r="F907" s="19"/>
      <c r="G907" s="9"/>
    </row>
    <row r="908" ht="22.5" customHeight="1">
      <c r="A908" s="4"/>
      <c r="D908" s="6"/>
      <c r="E908" s="19"/>
      <c r="F908" s="19"/>
      <c r="G908" s="9"/>
    </row>
    <row r="909" ht="22.5" customHeight="1">
      <c r="A909" s="4"/>
      <c r="D909" s="6"/>
      <c r="E909" s="19"/>
      <c r="F909" s="19"/>
      <c r="G909" s="9"/>
    </row>
    <row r="910" ht="22.5" customHeight="1">
      <c r="A910" s="4"/>
      <c r="D910" s="6"/>
      <c r="E910" s="19"/>
      <c r="F910" s="19"/>
      <c r="G910" s="9"/>
    </row>
    <row r="911" ht="22.5" customHeight="1">
      <c r="A911" s="4"/>
      <c r="D911" s="6"/>
      <c r="E911" s="19"/>
      <c r="F911" s="19"/>
      <c r="G911" s="9"/>
    </row>
    <row r="912" ht="22.5" customHeight="1">
      <c r="A912" s="4"/>
      <c r="D912" s="6"/>
      <c r="E912" s="19"/>
      <c r="F912" s="19"/>
      <c r="G912" s="9"/>
    </row>
    <row r="913" ht="22.5" customHeight="1">
      <c r="A913" s="4"/>
      <c r="D913" s="6"/>
      <c r="E913" s="19"/>
      <c r="F913" s="19"/>
      <c r="G913" s="9"/>
    </row>
    <row r="914" ht="22.5" customHeight="1">
      <c r="A914" s="4"/>
      <c r="D914" s="6"/>
      <c r="E914" s="19"/>
      <c r="F914" s="19"/>
      <c r="G914" s="9"/>
    </row>
    <row r="915" ht="22.5" customHeight="1">
      <c r="A915" s="4"/>
      <c r="D915" s="6"/>
      <c r="E915" s="19"/>
      <c r="F915" s="19"/>
      <c r="G915" s="9"/>
    </row>
    <row r="916" ht="22.5" customHeight="1">
      <c r="A916" s="4"/>
      <c r="D916" s="6"/>
      <c r="E916" s="19"/>
      <c r="F916" s="19"/>
      <c r="G916" s="9"/>
    </row>
    <row r="917" ht="22.5" customHeight="1">
      <c r="A917" s="4"/>
      <c r="D917" s="6"/>
      <c r="E917" s="19"/>
      <c r="F917" s="19"/>
      <c r="G917" s="9"/>
    </row>
    <row r="918" ht="22.5" customHeight="1">
      <c r="A918" s="4"/>
      <c r="D918" s="6"/>
      <c r="E918" s="19"/>
      <c r="F918" s="19"/>
      <c r="G918" s="9"/>
    </row>
    <row r="919" ht="22.5" customHeight="1">
      <c r="A919" s="4"/>
      <c r="D919" s="6"/>
      <c r="E919" s="19"/>
      <c r="F919" s="19"/>
      <c r="G919" s="9"/>
    </row>
    <row r="920" ht="22.5" customHeight="1">
      <c r="A920" s="4"/>
      <c r="D920" s="6"/>
      <c r="E920" s="19"/>
      <c r="F920" s="19"/>
      <c r="G920" s="9"/>
    </row>
    <row r="921" ht="22.5" customHeight="1">
      <c r="A921" s="4"/>
      <c r="D921" s="6"/>
      <c r="E921" s="19"/>
      <c r="F921" s="19"/>
      <c r="G921" s="9"/>
    </row>
    <row r="922" ht="22.5" customHeight="1">
      <c r="A922" s="4"/>
      <c r="D922" s="6"/>
      <c r="E922" s="19"/>
      <c r="F922" s="19"/>
      <c r="G922" s="9"/>
    </row>
    <row r="923" ht="22.5" customHeight="1">
      <c r="A923" s="4"/>
      <c r="D923" s="6"/>
      <c r="E923" s="19"/>
      <c r="F923" s="19"/>
      <c r="G923" s="9"/>
    </row>
    <row r="924" ht="22.5" customHeight="1">
      <c r="A924" s="4"/>
      <c r="D924" s="6"/>
      <c r="E924" s="19"/>
      <c r="F924" s="19"/>
      <c r="G924" s="9"/>
    </row>
    <row r="925" ht="22.5" customHeight="1">
      <c r="A925" s="4"/>
      <c r="D925" s="6"/>
      <c r="E925" s="19"/>
      <c r="F925" s="19"/>
      <c r="G925" s="9"/>
    </row>
    <row r="926" ht="22.5" customHeight="1">
      <c r="A926" s="4"/>
      <c r="D926" s="6"/>
      <c r="E926" s="19"/>
      <c r="F926" s="19"/>
      <c r="G926" s="9"/>
    </row>
    <row r="927" ht="22.5" customHeight="1">
      <c r="A927" s="4"/>
      <c r="D927" s="6"/>
      <c r="E927" s="19"/>
      <c r="F927" s="19"/>
      <c r="G927" s="9"/>
    </row>
    <row r="928" ht="22.5" customHeight="1">
      <c r="A928" s="4"/>
      <c r="D928" s="6"/>
      <c r="E928" s="19"/>
      <c r="F928" s="19"/>
      <c r="G928" s="9"/>
    </row>
    <row r="929" ht="22.5" customHeight="1">
      <c r="A929" s="4"/>
      <c r="D929" s="6"/>
      <c r="E929" s="19"/>
      <c r="F929" s="19"/>
      <c r="G929" s="9"/>
    </row>
    <row r="930" ht="22.5" customHeight="1">
      <c r="A930" s="4"/>
      <c r="D930" s="6"/>
      <c r="E930" s="19"/>
      <c r="F930" s="19"/>
      <c r="G930" s="9"/>
    </row>
    <row r="931" ht="22.5" customHeight="1">
      <c r="A931" s="4"/>
      <c r="D931" s="6"/>
      <c r="E931" s="19"/>
      <c r="F931" s="19"/>
      <c r="G931" s="9"/>
    </row>
    <row r="932" ht="22.5" customHeight="1">
      <c r="A932" s="4"/>
      <c r="D932" s="6"/>
      <c r="E932" s="19"/>
      <c r="F932" s="19"/>
      <c r="G932" s="9"/>
    </row>
    <row r="933" ht="22.5" customHeight="1">
      <c r="A933" s="4"/>
      <c r="D933" s="6"/>
      <c r="E933" s="19"/>
      <c r="F933" s="19"/>
      <c r="G933" s="9"/>
    </row>
    <row r="934" ht="22.5" customHeight="1">
      <c r="A934" s="4"/>
      <c r="D934" s="6"/>
      <c r="E934" s="19"/>
      <c r="F934" s="19"/>
      <c r="G934" s="9"/>
    </row>
    <row r="935" ht="22.5" customHeight="1">
      <c r="A935" s="4"/>
      <c r="D935" s="6"/>
      <c r="E935" s="19"/>
      <c r="F935" s="19"/>
      <c r="G935" s="9"/>
    </row>
    <row r="936" ht="22.5" customHeight="1">
      <c r="A936" s="4"/>
      <c r="D936" s="6"/>
      <c r="E936" s="19"/>
      <c r="F936" s="19"/>
      <c r="G936" s="9"/>
    </row>
    <row r="937" ht="22.5" customHeight="1">
      <c r="A937" s="4"/>
      <c r="D937" s="6"/>
      <c r="E937" s="19"/>
      <c r="F937" s="19"/>
      <c r="G937" s="9"/>
    </row>
    <row r="938" ht="22.5" customHeight="1">
      <c r="A938" s="4"/>
      <c r="D938" s="6"/>
      <c r="E938" s="19"/>
      <c r="F938" s="19"/>
      <c r="G938" s="9"/>
    </row>
    <row r="939" ht="22.5" customHeight="1">
      <c r="A939" s="4"/>
      <c r="D939" s="6"/>
      <c r="E939" s="19"/>
      <c r="F939" s="19"/>
      <c r="G939" s="9"/>
    </row>
    <row r="940" ht="22.5" customHeight="1">
      <c r="A940" s="4"/>
      <c r="D940" s="6"/>
      <c r="E940" s="19"/>
      <c r="F940" s="19"/>
      <c r="G940" s="9"/>
    </row>
    <row r="941" ht="22.5" customHeight="1">
      <c r="A941" s="4"/>
      <c r="D941" s="6"/>
      <c r="E941" s="19"/>
      <c r="F941" s="19"/>
      <c r="G941" s="9"/>
    </row>
    <row r="942" ht="22.5" customHeight="1">
      <c r="A942" s="4"/>
      <c r="D942" s="6"/>
      <c r="E942" s="19"/>
      <c r="F942" s="19"/>
      <c r="G942" s="9"/>
    </row>
    <row r="943" ht="22.5" customHeight="1">
      <c r="A943" s="4"/>
      <c r="D943" s="6"/>
      <c r="E943" s="19"/>
      <c r="F943" s="19"/>
      <c r="G943" s="9"/>
    </row>
    <row r="944" ht="22.5" customHeight="1">
      <c r="A944" s="4"/>
      <c r="D944" s="6"/>
      <c r="E944" s="19"/>
      <c r="F944" s="19"/>
      <c r="G944" s="9"/>
    </row>
    <row r="945" ht="22.5" customHeight="1">
      <c r="A945" s="4"/>
      <c r="D945" s="6"/>
      <c r="E945" s="19"/>
      <c r="F945" s="19"/>
      <c r="G945" s="9"/>
    </row>
    <row r="946" ht="22.5" customHeight="1">
      <c r="A946" s="4"/>
      <c r="D946" s="6"/>
      <c r="E946" s="19"/>
      <c r="F946" s="19"/>
      <c r="G946" s="9"/>
    </row>
    <row r="947" ht="22.5" customHeight="1">
      <c r="A947" s="4"/>
      <c r="D947" s="6"/>
      <c r="E947" s="19"/>
      <c r="F947" s="19"/>
      <c r="G947" s="9"/>
    </row>
    <row r="948" ht="22.5" customHeight="1">
      <c r="A948" s="4"/>
      <c r="D948" s="6"/>
      <c r="E948" s="19"/>
      <c r="F948" s="19"/>
      <c r="G948" s="9"/>
    </row>
    <row r="949" ht="22.5" customHeight="1">
      <c r="A949" s="4"/>
      <c r="D949" s="6"/>
      <c r="E949" s="19"/>
      <c r="F949" s="19"/>
      <c r="G949" s="9"/>
    </row>
    <row r="950" ht="22.5" customHeight="1">
      <c r="A950" s="4"/>
      <c r="D950" s="6"/>
      <c r="E950" s="19"/>
      <c r="F950" s="19"/>
      <c r="G950" s="9"/>
    </row>
    <row r="951" ht="22.5" customHeight="1">
      <c r="A951" s="4"/>
      <c r="D951" s="6"/>
      <c r="E951" s="19"/>
      <c r="F951" s="19"/>
      <c r="G951" s="9"/>
    </row>
    <row r="952" ht="22.5" customHeight="1">
      <c r="A952" s="4"/>
      <c r="D952" s="6"/>
      <c r="E952" s="19"/>
      <c r="F952" s="19"/>
      <c r="G952" s="9"/>
    </row>
    <row r="953" ht="22.5" customHeight="1">
      <c r="A953" s="4"/>
      <c r="D953" s="6"/>
      <c r="E953" s="19"/>
      <c r="F953" s="19"/>
      <c r="G953" s="9"/>
    </row>
    <row r="954" ht="22.5" customHeight="1">
      <c r="A954" s="4"/>
      <c r="D954" s="6"/>
      <c r="E954" s="19"/>
      <c r="F954" s="19"/>
      <c r="G954" s="9"/>
    </row>
    <row r="955" ht="22.5" customHeight="1">
      <c r="A955" s="4"/>
      <c r="D955" s="6"/>
      <c r="E955" s="19"/>
      <c r="F955" s="19"/>
      <c r="G955" s="9"/>
    </row>
    <row r="956" ht="22.5" customHeight="1">
      <c r="A956" s="4"/>
      <c r="D956" s="6"/>
      <c r="E956" s="19"/>
      <c r="F956" s="19"/>
      <c r="G956" s="9"/>
    </row>
    <row r="957" ht="22.5" customHeight="1">
      <c r="A957" s="4"/>
      <c r="D957" s="6"/>
      <c r="E957" s="19"/>
      <c r="F957" s="19"/>
      <c r="G957" s="9"/>
    </row>
    <row r="958" ht="22.5" customHeight="1">
      <c r="A958" s="4"/>
      <c r="D958" s="6"/>
      <c r="E958" s="19"/>
      <c r="F958" s="19"/>
      <c r="G958" s="9"/>
    </row>
    <row r="959" ht="22.5" customHeight="1">
      <c r="A959" s="4"/>
      <c r="D959" s="6"/>
      <c r="E959" s="19"/>
      <c r="F959" s="19"/>
      <c r="G959" s="9"/>
    </row>
    <row r="960" ht="22.5" customHeight="1">
      <c r="A960" s="4"/>
      <c r="D960" s="6"/>
      <c r="E960" s="19"/>
      <c r="F960" s="19"/>
      <c r="G960" s="9"/>
    </row>
    <row r="961" ht="22.5" customHeight="1">
      <c r="A961" s="4"/>
      <c r="D961" s="6"/>
      <c r="E961" s="19"/>
      <c r="F961" s="19"/>
      <c r="G961" s="9"/>
    </row>
    <row r="962" ht="22.5" customHeight="1">
      <c r="A962" s="4"/>
      <c r="D962" s="6"/>
      <c r="E962" s="19"/>
      <c r="F962" s="19"/>
      <c r="G962" s="9"/>
    </row>
    <row r="963" ht="22.5" customHeight="1">
      <c r="A963" s="4"/>
      <c r="D963" s="6"/>
      <c r="E963" s="19"/>
      <c r="F963" s="19"/>
      <c r="G963" s="9"/>
    </row>
    <row r="964" ht="22.5" customHeight="1">
      <c r="A964" s="4"/>
      <c r="D964" s="6"/>
      <c r="E964" s="19"/>
      <c r="F964" s="19"/>
      <c r="G964" s="9"/>
    </row>
    <row r="965" ht="22.5" customHeight="1">
      <c r="A965" s="4"/>
      <c r="D965" s="6"/>
      <c r="E965" s="19"/>
      <c r="F965" s="19"/>
      <c r="G965" s="9"/>
    </row>
    <row r="966" ht="22.5" customHeight="1">
      <c r="A966" s="4"/>
      <c r="D966" s="6"/>
      <c r="E966" s="19"/>
      <c r="F966" s="19"/>
      <c r="G966" s="9"/>
    </row>
    <row r="967" ht="22.5" customHeight="1">
      <c r="A967" s="4"/>
      <c r="D967" s="6"/>
      <c r="E967" s="19"/>
      <c r="F967" s="19"/>
      <c r="G967" s="9"/>
    </row>
    <row r="968" ht="22.5" customHeight="1">
      <c r="A968" s="4"/>
      <c r="D968" s="6"/>
      <c r="E968" s="19"/>
      <c r="F968" s="19"/>
      <c r="G968" s="9"/>
    </row>
    <row r="969" ht="22.5" customHeight="1">
      <c r="A969" s="4"/>
      <c r="D969" s="6"/>
      <c r="E969" s="19"/>
      <c r="F969" s="19"/>
      <c r="G969" s="9"/>
    </row>
    <row r="970" ht="22.5" customHeight="1">
      <c r="A970" s="4"/>
      <c r="D970" s="6"/>
      <c r="E970" s="19"/>
      <c r="F970" s="19"/>
      <c r="G970" s="9"/>
    </row>
    <row r="971" ht="22.5" customHeight="1">
      <c r="A971" s="4"/>
      <c r="D971" s="6"/>
      <c r="E971" s="19"/>
      <c r="F971" s="19"/>
      <c r="G971" s="9"/>
    </row>
    <row r="972" ht="22.5" customHeight="1">
      <c r="A972" s="4"/>
      <c r="D972" s="6"/>
      <c r="E972" s="19"/>
      <c r="F972" s="19"/>
      <c r="G972" s="9"/>
    </row>
    <row r="973" ht="22.5" customHeight="1">
      <c r="A973" s="4"/>
      <c r="D973" s="6"/>
      <c r="E973" s="19"/>
      <c r="F973" s="19"/>
      <c r="G973" s="9"/>
    </row>
    <row r="974" ht="22.5" customHeight="1">
      <c r="A974" s="4"/>
      <c r="D974" s="6"/>
      <c r="E974" s="19"/>
      <c r="F974" s="19"/>
      <c r="G974" s="9"/>
    </row>
    <row r="975" ht="22.5" customHeight="1">
      <c r="A975" s="4"/>
      <c r="D975" s="6"/>
      <c r="E975" s="19"/>
      <c r="F975" s="19"/>
      <c r="G975" s="9"/>
    </row>
    <row r="976" ht="22.5" customHeight="1">
      <c r="A976" s="4"/>
      <c r="D976" s="6"/>
      <c r="E976" s="19"/>
      <c r="F976" s="19"/>
      <c r="G976" s="9"/>
    </row>
    <row r="977" ht="22.5" customHeight="1">
      <c r="A977" s="4"/>
      <c r="D977" s="6"/>
      <c r="E977" s="19"/>
      <c r="F977" s="19"/>
      <c r="G977" s="9"/>
    </row>
    <row r="978" ht="22.5" customHeight="1">
      <c r="A978" s="4"/>
      <c r="D978" s="6"/>
      <c r="E978" s="19"/>
      <c r="F978" s="19"/>
      <c r="G978" s="9"/>
    </row>
    <row r="979" ht="22.5" customHeight="1">
      <c r="A979" s="4"/>
      <c r="D979" s="6"/>
      <c r="E979" s="19"/>
      <c r="F979" s="19"/>
      <c r="G979" s="9"/>
    </row>
    <row r="980" ht="22.5" customHeight="1">
      <c r="A980" s="4"/>
      <c r="D980" s="6"/>
      <c r="E980" s="19"/>
      <c r="F980" s="19"/>
      <c r="G980" s="9"/>
    </row>
    <row r="981" ht="22.5" customHeight="1">
      <c r="A981" s="4"/>
      <c r="D981" s="6"/>
      <c r="E981" s="19"/>
      <c r="F981" s="19"/>
      <c r="G981" s="9"/>
    </row>
    <row r="982" ht="22.5" customHeight="1">
      <c r="A982" s="4"/>
      <c r="D982" s="6"/>
      <c r="E982" s="19"/>
      <c r="F982" s="19"/>
      <c r="G982" s="9"/>
    </row>
    <row r="983" ht="22.5" customHeight="1">
      <c r="A983" s="4"/>
      <c r="D983" s="6"/>
      <c r="E983" s="19"/>
      <c r="F983" s="19"/>
      <c r="G983" s="9"/>
    </row>
    <row r="984" ht="22.5" customHeight="1">
      <c r="A984" s="4"/>
      <c r="D984" s="6"/>
      <c r="E984" s="19"/>
      <c r="F984" s="19"/>
      <c r="G984" s="9"/>
    </row>
    <row r="985" ht="22.5" customHeight="1">
      <c r="A985" s="4"/>
      <c r="D985" s="6"/>
      <c r="E985" s="19"/>
      <c r="F985" s="19"/>
      <c r="G985" s="9"/>
    </row>
    <row r="986" ht="22.5" customHeight="1">
      <c r="A986" s="4"/>
      <c r="D986" s="6"/>
      <c r="E986" s="19"/>
      <c r="F986" s="19"/>
      <c r="G986" s="9"/>
    </row>
    <row r="987" ht="22.5" customHeight="1">
      <c r="A987" s="4"/>
      <c r="D987" s="6"/>
      <c r="E987" s="19"/>
      <c r="F987" s="19"/>
      <c r="G987" s="9"/>
    </row>
    <row r="988" ht="22.5" customHeight="1">
      <c r="A988" s="4"/>
      <c r="D988" s="6"/>
      <c r="E988" s="19"/>
      <c r="F988" s="19"/>
      <c r="G988" s="9"/>
    </row>
    <row r="989" ht="22.5" customHeight="1">
      <c r="A989" s="4"/>
      <c r="D989" s="6"/>
      <c r="E989" s="19"/>
      <c r="F989" s="19"/>
      <c r="G989" s="9"/>
    </row>
    <row r="990" ht="22.5" customHeight="1">
      <c r="A990" s="4"/>
      <c r="D990" s="6"/>
      <c r="E990" s="19"/>
      <c r="F990" s="19"/>
      <c r="G990" s="9"/>
    </row>
    <row r="991" ht="22.5" customHeight="1">
      <c r="A991" s="4"/>
      <c r="D991" s="6"/>
      <c r="E991" s="19"/>
      <c r="F991" s="19"/>
      <c r="G991" s="9"/>
    </row>
    <row r="992" ht="22.5" customHeight="1">
      <c r="A992" s="4"/>
      <c r="D992" s="6"/>
      <c r="E992" s="19"/>
      <c r="F992" s="19"/>
      <c r="G992" s="9"/>
    </row>
    <row r="993" ht="22.5" customHeight="1">
      <c r="A993" s="4"/>
      <c r="D993" s="6"/>
      <c r="E993" s="19"/>
      <c r="F993" s="19"/>
      <c r="G993" s="9"/>
    </row>
    <row r="994" ht="22.5" customHeight="1">
      <c r="A994" s="4"/>
      <c r="D994" s="6"/>
      <c r="E994" s="19"/>
      <c r="F994" s="19"/>
      <c r="G994" s="9"/>
    </row>
    <row r="995" ht="22.5" customHeight="1">
      <c r="A995" s="4"/>
      <c r="D995" s="6"/>
      <c r="E995" s="19"/>
      <c r="F995" s="19"/>
      <c r="G995" s="9"/>
    </row>
    <row r="996" ht="22.5" customHeight="1">
      <c r="A996" s="4"/>
      <c r="D996" s="6"/>
      <c r="E996" s="19"/>
      <c r="F996" s="19"/>
      <c r="G996" s="9"/>
    </row>
    <row r="997" ht="22.5" customHeight="1">
      <c r="A997" s="4"/>
      <c r="D997" s="6"/>
      <c r="E997" s="19"/>
      <c r="F997" s="19"/>
      <c r="G997" s="9"/>
    </row>
    <row r="998" ht="22.5" customHeight="1">
      <c r="A998" s="4"/>
      <c r="D998" s="6"/>
      <c r="E998" s="19"/>
      <c r="F998" s="19"/>
      <c r="G998" s="9"/>
    </row>
    <row r="999" ht="22.5" customHeight="1">
      <c r="A999" s="4"/>
      <c r="D999" s="6"/>
      <c r="E999" s="19"/>
      <c r="F999" s="19"/>
      <c r="G999" s="9"/>
    </row>
    <row r="1000" ht="22.5" customHeight="1">
      <c r="A1000" s="4"/>
      <c r="D1000" s="6"/>
      <c r="E1000" s="19"/>
      <c r="F1000" s="19"/>
      <c r="G1000" s="9"/>
    </row>
    <row r="1001" ht="22.5" customHeight="1">
      <c r="A1001" s="4"/>
      <c r="D1001" s="6"/>
      <c r="E1001" s="19"/>
      <c r="F1001" s="19"/>
      <c r="G1001" s="9"/>
    </row>
    <row r="1002" ht="22.5" customHeight="1">
      <c r="A1002" s="4"/>
      <c r="D1002" s="6"/>
      <c r="E1002" s="19"/>
      <c r="F1002" s="19"/>
      <c r="G1002" s="9"/>
    </row>
    <row r="1003" ht="22.5" customHeight="1">
      <c r="A1003" s="4"/>
      <c r="D1003" s="6"/>
      <c r="E1003" s="19"/>
      <c r="F1003" s="19"/>
      <c r="G1003" s="9"/>
    </row>
    <row r="1004" ht="22.5" customHeight="1">
      <c r="A1004" s="4"/>
      <c r="D1004" s="6"/>
      <c r="E1004" s="19"/>
      <c r="F1004" s="19"/>
      <c r="G1004" s="9"/>
    </row>
    <row r="1005" ht="22.5" customHeight="1">
      <c r="A1005" s="4"/>
      <c r="D1005" s="6"/>
      <c r="E1005" s="19"/>
      <c r="F1005" s="19"/>
      <c r="G1005" s="9"/>
    </row>
    <row r="1006" ht="22.5" customHeight="1">
      <c r="A1006" s="4"/>
      <c r="D1006" s="6"/>
      <c r="E1006" s="19"/>
      <c r="F1006" s="19"/>
      <c r="G1006" s="9"/>
    </row>
    <row r="1007" ht="22.5" customHeight="1">
      <c r="A1007" s="4"/>
      <c r="D1007" s="6"/>
      <c r="E1007" s="19"/>
      <c r="F1007" s="19"/>
      <c r="G1007" s="9"/>
    </row>
    <row r="1008" ht="22.5" customHeight="1">
      <c r="A1008" s="4"/>
      <c r="D1008" s="6"/>
      <c r="E1008" s="19"/>
      <c r="F1008" s="19"/>
      <c r="G1008" s="9"/>
    </row>
    <row r="1009" ht="22.5" customHeight="1">
      <c r="A1009" s="4"/>
      <c r="D1009" s="6"/>
      <c r="E1009" s="19"/>
      <c r="F1009" s="19"/>
      <c r="G1009" s="9"/>
    </row>
    <row r="1010" ht="22.5" customHeight="1">
      <c r="A1010" s="4"/>
      <c r="D1010" s="6"/>
      <c r="E1010" s="19"/>
      <c r="F1010" s="19"/>
      <c r="G1010" s="9"/>
    </row>
    <row r="1011" ht="22.5" customHeight="1">
      <c r="A1011" s="4"/>
      <c r="D1011" s="6"/>
      <c r="E1011" s="19"/>
      <c r="F1011" s="19"/>
      <c r="G1011" s="9"/>
    </row>
    <row r="1012" ht="22.5" customHeight="1">
      <c r="A1012" s="4"/>
      <c r="D1012" s="6"/>
      <c r="E1012" s="19"/>
      <c r="F1012" s="19"/>
      <c r="G1012" s="9"/>
    </row>
    <row r="1013" ht="22.5" customHeight="1">
      <c r="A1013" s="4"/>
      <c r="D1013" s="6"/>
      <c r="E1013" s="19"/>
      <c r="F1013" s="19"/>
      <c r="G1013" s="9"/>
    </row>
    <row r="1014" ht="22.5" customHeight="1">
      <c r="A1014" s="4"/>
      <c r="D1014" s="6"/>
      <c r="E1014" s="19"/>
      <c r="F1014" s="19"/>
      <c r="G1014" s="9"/>
    </row>
    <row r="1015" ht="22.5" customHeight="1">
      <c r="A1015" s="4"/>
      <c r="D1015" s="6"/>
      <c r="E1015" s="19"/>
      <c r="F1015" s="19"/>
      <c r="G1015" s="9"/>
    </row>
    <row r="1016" ht="22.5" customHeight="1">
      <c r="A1016" s="4"/>
      <c r="D1016" s="6"/>
      <c r="E1016" s="19"/>
      <c r="F1016" s="19"/>
      <c r="G1016" s="9"/>
    </row>
    <row r="1017" ht="22.5" customHeight="1">
      <c r="A1017" s="4"/>
      <c r="D1017" s="6"/>
      <c r="E1017" s="19"/>
      <c r="F1017" s="19"/>
      <c r="G1017" s="9"/>
    </row>
    <row r="1018" ht="22.5" customHeight="1">
      <c r="A1018" s="4"/>
      <c r="D1018" s="6"/>
      <c r="E1018" s="19"/>
      <c r="F1018" s="19"/>
      <c r="G1018" s="9"/>
    </row>
    <row r="1019" ht="22.5" customHeight="1">
      <c r="A1019" s="4"/>
      <c r="D1019" s="6"/>
      <c r="E1019" s="19"/>
      <c r="F1019" s="19"/>
      <c r="G1019" s="9"/>
    </row>
    <row r="1020" ht="22.5" customHeight="1">
      <c r="A1020" s="4"/>
      <c r="D1020" s="6"/>
      <c r="E1020" s="19"/>
      <c r="F1020" s="19"/>
      <c r="G1020" s="9"/>
    </row>
    <row r="1021" ht="22.5" customHeight="1">
      <c r="A1021" s="4"/>
      <c r="D1021" s="6"/>
      <c r="E1021" s="19"/>
      <c r="F1021" s="19"/>
      <c r="G1021" s="9"/>
    </row>
    <row r="1022" ht="22.5" customHeight="1">
      <c r="A1022" s="4"/>
      <c r="D1022" s="6"/>
      <c r="E1022" s="19"/>
      <c r="F1022" s="19"/>
      <c r="G1022" s="9"/>
    </row>
    <row r="1023" ht="22.5" customHeight="1">
      <c r="A1023" s="4"/>
      <c r="D1023" s="6"/>
      <c r="E1023" s="19"/>
      <c r="F1023" s="19"/>
      <c r="G1023" s="9"/>
    </row>
    <row r="1024" ht="22.5" customHeight="1">
      <c r="A1024" s="4"/>
      <c r="D1024" s="6"/>
      <c r="E1024" s="19"/>
      <c r="F1024" s="19"/>
      <c r="G1024" s="9"/>
    </row>
    <row r="1025" ht="22.5" customHeight="1">
      <c r="A1025" s="4"/>
      <c r="D1025" s="6"/>
      <c r="E1025" s="19"/>
      <c r="F1025" s="19"/>
      <c r="G1025" s="9"/>
    </row>
    <row r="1026" ht="22.5" customHeight="1">
      <c r="A1026" s="4"/>
      <c r="D1026" s="6"/>
      <c r="E1026" s="19"/>
      <c r="F1026" s="19"/>
      <c r="G1026" s="9"/>
    </row>
    <row r="1027" ht="22.5" customHeight="1">
      <c r="A1027" s="4"/>
      <c r="D1027" s="6"/>
      <c r="E1027" s="19"/>
      <c r="F1027" s="19"/>
      <c r="G1027" s="9"/>
    </row>
    <row r="1028" ht="22.5" customHeight="1">
      <c r="A1028" s="4"/>
      <c r="D1028" s="6"/>
      <c r="E1028" s="19"/>
      <c r="F1028" s="19"/>
      <c r="G1028" s="9"/>
    </row>
    <row r="1029" ht="22.5" customHeight="1">
      <c r="A1029" s="4"/>
      <c r="D1029" s="6"/>
      <c r="E1029" s="19"/>
      <c r="F1029" s="19"/>
      <c r="G1029" s="9"/>
    </row>
    <row r="1030" ht="22.5" customHeight="1">
      <c r="A1030" s="4"/>
      <c r="D1030" s="6"/>
      <c r="E1030" s="19"/>
      <c r="F1030" s="19"/>
      <c r="G1030" s="9"/>
    </row>
    <row r="1031" ht="22.5" customHeight="1">
      <c r="A1031" s="4"/>
      <c r="D1031" s="6"/>
      <c r="E1031" s="19"/>
      <c r="F1031" s="19"/>
      <c r="G1031" s="9"/>
    </row>
    <row r="1032" ht="22.5" customHeight="1">
      <c r="A1032" s="4"/>
      <c r="D1032" s="6"/>
      <c r="E1032" s="19"/>
      <c r="F1032" s="19"/>
      <c r="G1032" s="9"/>
    </row>
    <row r="1033" ht="22.5" customHeight="1">
      <c r="A1033" s="4"/>
      <c r="D1033" s="6"/>
      <c r="E1033" s="19"/>
      <c r="F1033" s="19"/>
      <c r="G1033" s="9"/>
    </row>
    <row r="1034" ht="22.5" customHeight="1">
      <c r="A1034" s="4"/>
      <c r="D1034" s="6"/>
      <c r="E1034" s="19"/>
      <c r="F1034" s="19"/>
      <c r="G1034" s="9"/>
    </row>
    <row r="1035" ht="22.5" customHeight="1">
      <c r="A1035" s="4"/>
      <c r="D1035" s="6"/>
      <c r="E1035" s="19"/>
      <c r="F1035" s="19"/>
      <c r="G1035" s="9"/>
    </row>
    <row r="1036" ht="22.5" customHeight="1">
      <c r="A1036" s="4"/>
      <c r="D1036" s="6"/>
      <c r="E1036" s="19"/>
      <c r="F1036" s="19"/>
      <c r="G1036" s="9"/>
    </row>
    <row r="1037" ht="22.5" customHeight="1">
      <c r="A1037" s="4"/>
      <c r="D1037" s="6"/>
      <c r="E1037" s="19"/>
      <c r="F1037" s="19"/>
      <c r="G1037" s="9"/>
    </row>
    <row r="1038" ht="22.5" customHeight="1">
      <c r="A1038" s="4"/>
      <c r="D1038" s="6"/>
      <c r="E1038" s="19"/>
      <c r="F1038" s="19"/>
      <c r="G1038" s="9"/>
    </row>
    <row r="1039" ht="22.5" customHeight="1">
      <c r="A1039" s="4"/>
      <c r="D1039" s="6"/>
      <c r="E1039" s="19"/>
      <c r="F1039" s="19"/>
      <c r="G1039" s="9"/>
    </row>
    <row r="1040" ht="22.5" customHeight="1">
      <c r="A1040" s="4"/>
      <c r="D1040" s="6"/>
      <c r="E1040" s="19"/>
      <c r="F1040" s="19"/>
      <c r="G1040" s="9"/>
    </row>
    <row r="1041" ht="22.5" customHeight="1">
      <c r="A1041" s="4"/>
      <c r="D1041" s="6"/>
      <c r="E1041" s="19"/>
      <c r="F1041" s="19"/>
      <c r="G1041" s="9"/>
    </row>
    <row r="1042" ht="22.5" customHeight="1">
      <c r="A1042" s="4"/>
      <c r="D1042" s="6"/>
      <c r="E1042" s="19"/>
      <c r="F1042" s="19"/>
      <c r="G1042" s="9"/>
    </row>
    <row r="1043" ht="22.5" customHeight="1">
      <c r="A1043" s="4"/>
      <c r="D1043" s="6"/>
      <c r="E1043" s="19"/>
      <c r="F1043" s="19"/>
      <c r="G1043" s="9"/>
    </row>
    <row r="1044" ht="22.5" customHeight="1">
      <c r="A1044" s="4"/>
      <c r="D1044" s="6"/>
      <c r="E1044" s="19"/>
      <c r="F1044" s="19"/>
      <c r="G1044" s="9"/>
    </row>
    <row r="1045" ht="22.5" customHeight="1">
      <c r="A1045" s="4"/>
      <c r="D1045" s="6"/>
      <c r="E1045" s="19"/>
      <c r="F1045" s="19"/>
      <c r="G1045" s="9"/>
    </row>
    <row r="1046" ht="22.5" customHeight="1">
      <c r="A1046" s="4"/>
      <c r="D1046" s="6"/>
      <c r="E1046" s="19"/>
      <c r="F1046" s="19"/>
      <c r="G1046" s="9"/>
    </row>
    <row r="1047" ht="22.5" customHeight="1">
      <c r="A1047" s="4"/>
      <c r="D1047" s="6"/>
      <c r="E1047" s="19"/>
      <c r="F1047" s="19"/>
      <c r="G1047" s="9"/>
    </row>
    <row r="1048" ht="22.5" customHeight="1">
      <c r="A1048" s="4"/>
      <c r="D1048" s="6"/>
      <c r="E1048" s="19"/>
      <c r="F1048" s="19"/>
      <c r="G1048" s="9"/>
    </row>
    <row r="1049" ht="22.5" customHeight="1">
      <c r="A1049" s="4"/>
      <c r="D1049" s="6"/>
      <c r="E1049" s="19"/>
      <c r="F1049" s="19"/>
      <c r="G1049" s="9"/>
    </row>
    <row r="1050" ht="22.5" customHeight="1">
      <c r="A1050" s="4"/>
      <c r="D1050" s="6"/>
      <c r="E1050" s="19"/>
      <c r="F1050" s="19"/>
      <c r="G1050" s="9"/>
    </row>
    <row r="1051" ht="22.5" customHeight="1">
      <c r="A1051" s="4"/>
      <c r="D1051" s="6"/>
      <c r="E1051" s="19"/>
      <c r="F1051" s="19"/>
      <c r="G1051" s="9"/>
    </row>
    <row r="1052" ht="22.5" customHeight="1">
      <c r="A1052" s="4"/>
      <c r="D1052" s="6"/>
      <c r="E1052" s="19"/>
      <c r="F1052" s="19"/>
      <c r="G1052" s="9"/>
    </row>
    <row r="1053" ht="22.5" customHeight="1">
      <c r="A1053" s="4"/>
      <c r="D1053" s="6"/>
      <c r="E1053" s="19"/>
      <c r="F1053" s="19"/>
      <c r="G1053" s="9"/>
    </row>
    <row r="1054" ht="22.5" customHeight="1">
      <c r="A1054" s="4"/>
      <c r="D1054" s="6"/>
      <c r="E1054" s="19"/>
      <c r="F1054" s="19"/>
      <c r="G1054" s="9"/>
    </row>
    <row r="1055" ht="22.5" customHeight="1">
      <c r="A1055" s="4"/>
      <c r="D1055" s="6"/>
      <c r="E1055" s="19"/>
      <c r="F1055" s="19"/>
      <c r="G1055" s="9"/>
    </row>
    <row r="1056" ht="22.5" customHeight="1">
      <c r="A1056" s="4"/>
      <c r="D1056" s="6"/>
      <c r="E1056" s="19"/>
      <c r="F1056" s="19"/>
      <c r="G1056" s="9"/>
    </row>
    <row r="1057" ht="22.5" customHeight="1">
      <c r="A1057" s="4"/>
      <c r="D1057" s="6"/>
      <c r="E1057" s="19"/>
      <c r="F1057" s="19"/>
      <c r="G1057" s="9"/>
    </row>
    <row r="1058" ht="22.5" customHeight="1">
      <c r="A1058" s="4"/>
      <c r="D1058" s="6"/>
      <c r="E1058" s="19"/>
      <c r="F1058" s="19"/>
      <c r="G1058" s="9"/>
    </row>
    <row r="1059" ht="22.5" customHeight="1">
      <c r="A1059" s="4"/>
      <c r="D1059" s="6"/>
      <c r="E1059" s="19"/>
      <c r="F1059" s="19"/>
      <c r="G1059" s="9"/>
    </row>
    <row r="1060" ht="22.5" customHeight="1">
      <c r="A1060" s="4"/>
      <c r="D1060" s="6"/>
      <c r="E1060" s="19"/>
      <c r="F1060" s="19"/>
      <c r="G1060" s="9"/>
    </row>
    <row r="1061" ht="22.5" customHeight="1">
      <c r="A1061" s="4"/>
      <c r="D1061" s="6"/>
      <c r="E1061" s="19"/>
      <c r="F1061" s="19"/>
      <c r="G1061" s="9"/>
    </row>
    <row r="1062" ht="22.5" customHeight="1">
      <c r="A1062" s="4"/>
      <c r="D1062" s="6"/>
      <c r="E1062" s="19"/>
      <c r="F1062" s="19"/>
      <c r="G1062" s="9"/>
    </row>
    <row r="1063" ht="22.5" customHeight="1">
      <c r="A1063" s="4"/>
      <c r="D1063" s="6"/>
      <c r="E1063" s="19"/>
      <c r="F1063" s="19"/>
      <c r="G1063" s="9"/>
    </row>
    <row r="1064" ht="22.5" customHeight="1">
      <c r="A1064" s="4"/>
      <c r="D1064" s="6"/>
      <c r="E1064" s="19"/>
      <c r="F1064" s="19"/>
      <c r="G1064" s="9"/>
    </row>
    <row r="1065" ht="22.5" customHeight="1">
      <c r="A1065" s="4"/>
      <c r="D1065" s="6"/>
      <c r="E1065" s="19"/>
      <c r="F1065" s="19"/>
      <c r="G1065" s="9"/>
    </row>
    <row r="1066" ht="22.5" customHeight="1">
      <c r="A1066" s="4"/>
      <c r="D1066" s="6"/>
      <c r="E1066" s="19"/>
      <c r="F1066" s="19"/>
      <c r="G1066" s="9"/>
    </row>
    <row r="1067" ht="22.5" customHeight="1">
      <c r="A1067" s="4"/>
      <c r="D1067" s="6"/>
      <c r="E1067" s="19"/>
      <c r="F1067" s="19"/>
      <c r="G1067" s="9"/>
    </row>
    <row r="1068" ht="22.5" customHeight="1">
      <c r="A1068" s="4"/>
      <c r="D1068" s="6"/>
      <c r="E1068" s="19"/>
      <c r="F1068" s="19"/>
      <c r="G1068" s="9"/>
    </row>
    <row r="1069" ht="22.5" customHeight="1">
      <c r="A1069" s="4"/>
      <c r="D1069" s="6"/>
      <c r="E1069" s="19"/>
      <c r="F1069" s="19"/>
      <c r="G1069" s="9"/>
    </row>
    <row r="1070" ht="22.5" customHeight="1">
      <c r="A1070" s="4"/>
      <c r="D1070" s="6"/>
      <c r="E1070" s="19"/>
      <c r="F1070" s="19"/>
      <c r="G1070" s="9"/>
    </row>
    <row r="1071" ht="22.5" customHeight="1">
      <c r="A1071" s="4"/>
      <c r="D1071" s="6"/>
      <c r="E1071" s="19"/>
      <c r="F1071" s="19"/>
      <c r="G1071" s="9"/>
    </row>
    <row r="1072" ht="22.5" customHeight="1">
      <c r="A1072" s="4"/>
      <c r="D1072" s="6"/>
      <c r="E1072" s="19"/>
      <c r="F1072" s="19"/>
      <c r="G1072" s="9"/>
    </row>
    <row r="1073" ht="22.5" customHeight="1">
      <c r="A1073" s="4"/>
      <c r="D1073" s="6"/>
      <c r="E1073" s="19"/>
      <c r="F1073" s="19"/>
      <c r="G1073" s="9"/>
    </row>
    <row r="1074" ht="22.5" customHeight="1">
      <c r="A1074" s="4"/>
      <c r="D1074" s="6"/>
      <c r="E1074" s="19"/>
      <c r="F1074" s="19"/>
      <c r="G1074" s="9"/>
    </row>
    <row r="1075" ht="22.5" customHeight="1">
      <c r="A1075" s="4"/>
      <c r="D1075" s="6"/>
      <c r="E1075" s="19"/>
      <c r="F1075" s="19"/>
      <c r="G1075" s="9"/>
    </row>
    <row r="1076" ht="22.5" customHeight="1">
      <c r="A1076" s="4"/>
      <c r="D1076" s="6"/>
      <c r="E1076" s="19"/>
      <c r="F1076" s="19"/>
      <c r="G1076" s="9"/>
    </row>
    <row r="1077" ht="22.5" customHeight="1">
      <c r="A1077" s="4"/>
      <c r="D1077" s="6"/>
      <c r="E1077" s="19"/>
      <c r="F1077" s="19"/>
      <c r="G1077" s="9"/>
    </row>
    <row r="1078" ht="22.5" customHeight="1">
      <c r="A1078" s="4"/>
      <c r="D1078" s="6"/>
      <c r="E1078" s="19"/>
      <c r="F1078" s="19"/>
      <c r="G1078" s="9"/>
    </row>
    <row r="1079" ht="22.5" customHeight="1">
      <c r="A1079" s="4"/>
      <c r="D1079" s="6"/>
      <c r="E1079" s="19"/>
      <c r="F1079" s="19"/>
      <c r="G1079" s="9"/>
    </row>
    <row r="1080" ht="22.5" customHeight="1">
      <c r="A1080" s="4"/>
      <c r="D1080" s="6"/>
      <c r="E1080" s="19"/>
      <c r="F1080" s="19"/>
      <c r="G1080" s="9"/>
    </row>
    <row r="1081" ht="22.5" customHeight="1">
      <c r="A1081" s="4"/>
      <c r="D1081" s="6"/>
      <c r="E1081" s="19"/>
      <c r="F1081" s="19"/>
      <c r="G1081" s="9"/>
    </row>
    <row r="1082" ht="22.5" customHeight="1">
      <c r="A1082" s="4"/>
      <c r="D1082" s="6"/>
      <c r="E1082" s="19"/>
      <c r="F1082" s="19"/>
      <c r="G1082" s="9"/>
    </row>
    <row r="1083" ht="22.5" customHeight="1">
      <c r="A1083" s="4"/>
      <c r="D1083" s="6"/>
      <c r="E1083" s="19"/>
      <c r="F1083" s="19"/>
      <c r="G1083" s="9"/>
    </row>
    <row r="1084" ht="22.5" customHeight="1">
      <c r="A1084" s="4"/>
      <c r="D1084" s="6"/>
      <c r="E1084" s="19"/>
      <c r="F1084" s="19"/>
      <c r="G1084" s="9"/>
    </row>
    <row r="1085" ht="22.5" customHeight="1">
      <c r="A1085" s="4"/>
      <c r="D1085" s="6"/>
      <c r="E1085" s="19"/>
      <c r="F1085" s="19"/>
      <c r="G1085" s="9"/>
    </row>
    <row r="1086" ht="22.5" customHeight="1">
      <c r="A1086" s="4"/>
      <c r="D1086" s="6"/>
      <c r="E1086" s="19"/>
      <c r="F1086" s="19"/>
      <c r="G1086" s="9"/>
    </row>
    <row r="1087" ht="22.5" customHeight="1">
      <c r="A1087" s="4"/>
      <c r="D1087" s="6"/>
      <c r="E1087" s="19"/>
      <c r="F1087" s="19"/>
      <c r="G1087" s="9"/>
    </row>
    <row r="1088" ht="22.5" customHeight="1">
      <c r="A1088" s="4"/>
      <c r="D1088" s="6"/>
      <c r="E1088" s="19"/>
      <c r="F1088" s="19"/>
      <c r="G1088" s="9"/>
    </row>
    <row r="1089" ht="22.5" customHeight="1">
      <c r="A1089" s="4"/>
      <c r="D1089" s="6"/>
      <c r="E1089" s="19"/>
      <c r="F1089" s="19"/>
      <c r="G1089" s="9"/>
    </row>
    <row r="1090" ht="22.5" customHeight="1">
      <c r="A1090" s="4"/>
      <c r="D1090" s="6"/>
      <c r="E1090" s="19"/>
      <c r="F1090" s="19"/>
      <c r="G1090" s="9"/>
    </row>
    <row r="1091" ht="22.5" customHeight="1">
      <c r="A1091" s="4"/>
      <c r="D1091" s="6"/>
      <c r="E1091" s="19"/>
      <c r="F1091" s="19"/>
      <c r="G1091" s="9"/>
    </row>
    <row r="1092" ht="22.5" customHeight="1">
      <c r="A1092" s="4"/>
      <c r="D1092" s="6"/>
      <c r="E1092" s="19"/>
      <c r="F1092" s="19"/>
      <c r="G1092" s="9"/>
    </row>
    <row r="1093" ht="22.5" customHeight="1">
      <c r="A1093" s="4"/>
      <c r="D1093" s="6"/>
      <c r="E1093" s="19"/>
      <c r="F1093" s="19"/>
      <c r="G1093" s="9"/>
    </row>
    <row r="1094" ht="22.5" customHeight="1">
      <c r="A1094" s="4"/>
      <c r="D1094" s="6"/>
      <c r="E1094" s="19"/>
      <c r="F1094" s="19"/>
      <c r="G1094" s="9"/>
    </row>
    <row r="1095" ht="22.5" customHeight="1">
      <c r="A1095" s="4"/>
      <c r="D1095" s="6"/>
      <c r="E1095" s="19"/>
      <c r="F1095" s="19"/>
      <c r="G1095" s="9"/>
    </row>
    <row r="1096" ht="22.5" customHeight="1">
      <c r="A1096" s="4"/>
      <c r="D1096" s="6"/>
      <c r="E1096" s="19"/>
      <c r="F1096" s="19"/>
      <c r="G1096" s="9"/>
    </row>
    <row r="1097" ht="22.5" customHeight="1">
      <c r="A1097" s="4"/>
      <c r="D1097" s="6"/>
      <c r="E1097" s="19"/>
      <c r="F1097" s="19"/>
      <c r="G1097" s="9"/>
    </row>
    <row r="1098" ht="22.5" customHeight="1">
      <c r="A1098" s="4"/>
      <c r="D1098" s="6"/>
      <c r="E1098" s="19"/>
      <c r="F1098" s="19"/>
      <c r="G1098" s="9"/>
    </row>
    <row r="1099" ht="22.5" customHeight="1">
      <c r="A1099" s="4"/>
      <c r="D1099" s="6"/>
      <c r="E1099" s="19"/>
      <c r="F1099" s="19"/>
      <c r="G1099" s="9"/>
    </row>
    <row r="1100" ht="22.5" customHeight="1">
      <c r="A1100" s="4"/>
      <c r="D1100" s="6"/>
      <c r="E1100" s="19"/>
      <c r="F1100" s="19"/>
      <c r="G1100" s="9"/>
    </row>
    <row r="1101" ht="22.5" customHeight="1">
      <c r="A1101" s="4"/>
      <c r="D1101" s="6"/>
      <c r="E1101" s="19"/>
      <c r="F1101" s="19"/>
      <c r="G1101" s="9"/>
    </row>
    <row r="1102" ht="22.5" customHeight="1">
      <c r="A1102" s="4"/>
      <c r="D1102" s="6"/>
      <c r="E1102" s="19"/>
      <c r="F1102" s="19"/>
      <c r="G1102" s="9"/>
    </row>
    <row r="1103" ht="22.5" customHeight="1">
      <c r="A1103" s="4"/>
      <c r="D1103" s="6"/>
      <c r="E1103" s="19"/>
      <c r="F1103" s="19"/>
      <c r="G1103" s="9"/>
    </row>
    <row r="1104" ht="22.5" customHeight="1">
      <c r="A1104" s="4"/>
      <c r="D1104" s="6"/>
      <c r="E1104" s="19"/>
      <c r="F1104" s="19"/>
      <c r="G1104" s="9"/>
    </row>
    <row r="1105" ht="22.5" customHeight="1">
      <c r="A1105" s="4"/>
      <c r="D1105" s="6"/>
      <c r="E1105" s="19"/>
      <c r="F1105" s="19"/>
      <c r="G1105" s="9"/>
    </row>
    <row r="1106" ht="22.5" customHeight="1">
      <c r="A1106" s="4"/>
      <c r="D1106" s="6"/>
      <c r="E1106" s="19"/>
      <c r="F1106" s="19"/>
      <c r="G1106" s="9"/>
    </row>
    <row r="1107" ht="22.5" customHeight="1">
      <c r="A1107" s="4"/>
      <c r="D1107" s="6"/>
      <c r="E1107" s="19"/>
      <c r="F1107" s="19"/>
      <c r="G1107" s="9"/>
    </row>
    <row r="1108" ht="22.5" customHeight="1">
      <c r="A1108" s="4"/>
      <c r="D1108" s="6"/>
      <c r="E1108" s="19"/>
      <c r="F1108" s="19"/>
      <c r="G1108" s="9"/>
    </row>
    <row r="1109" ht="22.5" customHeight="1">
      <c r="A1109" s="4"/>
      <c r="D1109" s="6"/>
      <c r="E1109" s="19"/>
      <c r="F1109" s="19"/>
      <c r="G1109" s="9"/>
    </row>
    <row r="1110" ht="22.5" customHeight="1">
      <c r="A1110" s="4"/>
      <c r="D1110" s="6"/>
      <c r="E1110" s="19"/>
      <c r="F1110" s="19"/>
      <c r="G1110" s="9"/>
    </row>
    <row r="1111" ht="22.5" customHeight="1">
      <c r="A1111" s="4"/>
      <c r="D1111" s="6"/>
      <c r="E1111" s="19"/>
      <c r="F1111" s="19"/>
      <c r="G1111" s="9"/>
    </row>
    <row r="1112" ht="22.5" customHeight="1">
      <c r="A1112" s="4"/>
      <c r="D1112" s="6"/>
      <c r="E1112" s="19"/>
      <c r="F1112" s="19"/>
      <c r="G1112" s="9"/>
    </row>
    <row r="1113" ht="22.5" customHeight="1">
      <c r="A1113" s="4"/>
      <c r="D1113" s="6"/>
      <c r="E1113" s="19"/>
      <c r="F1113" s="19"/>
      <c r="G1113" s="9"/>
    </row>
    <row r="1114" ht="22.5" customHeight="1">
      <c r="A1114" s="4"/>
      <c r="D1114" s="6"/>
      <c r="E1114" s="19"/>
      <c r="F1114" s="19"/>
      <c r="G1114" s="9"/>
    </row>
    <row r="1115" ht="22.5" customHeight="1">
      <c r="A1115" s="4"/>
      <c r="D1115" s="6"/>
      <c r="E1115" s="19"/>
      <c r="F1115" s="19"/>
      <c r="G1115" s="9"/>
    </row>
    <row r="1116" ht="22.5" customHeight="1">
      <c r="A1116" s="4"/>
      <c r="D1116" s="6"/>
      <c r="E1116" s="19"/>
      <c r="F1116" s="19"/>
      <c r="G1116" s="9"/>
    </row>
    <row r="1117" ht="22.5" customHeight="1">
      <c r="A1117" s="4"/>
      <c r="D1117" s="6"/>
      <c r="E1117" s="19"/>
      <c r="F1117" s="19"/>
      <c r="G1117" s="9"/>
    </row>
    <row r="1118" ht="22.5" customHeight="1">
      <c r="A1118" s="4"/>
      <c r="D1118" s="6"/>
      <c r="E1118" s="19"/>
      <c r="F1118" s="19"/>
      <c r="G1118" s="9"/>
    </row>
    <row r="1119" ht="22.5" customHeight="1">
      <c r="A1119" s="4"/>
      <c r="D1119" s="6"/>
      <c r="E1119" s="19"/>
      <c r="F1119" s="19"/>
      <c r="G1119" s="9"/>
    </row>
    <row r="1120" ht="22.5" customHeight="1">
      <c r="A1120" s="4"/>
      <c r="D1120" s="6"/>
      <c r="E1120" s="19"/>
      <c r="F1120" s="19"/>
      <c r="G1120" s="9"/>
    </row>
    <row r="1121" ht="22.5" customHeight="1">
      <c r="A1121" s="4"/>
      <c r="D1121" s="6"/>
      <c r="E1121" s="19"/>
      <c r="F1121" s="19"/>
      <c r="G1121" s="9"/>
    </row>
    <row r="1122" ht="22.5" customHeight="1">
      <c r="A1122" s="4"/>
      <c r="D1122" s="6"/>
      <c r="E1122" s="19"/>
      <c r="F1122" s="19"/>
      <c r="G1122" s="9"/>
    </row>
    <row r="1123" ht="22.5" customHeight="1">
      <c r="A1123" s="4"/>
      <c r="D1123" s="6"/>
      <c r="E1123" s="19"/>
      <c r="F1123" s="19"/>
      <c r="G1123" s="9"/>
    </row>
    <row r="1124" ht="22.5" customHeight="1">
      <c r="A1124" s="4"/>
      <c r="D1124" s="6"/>
      <c r="E1124" s="19"/>
      <c r="F1124" s="19"/>
      <c r="G1124" s="9"/>
    </row>
    <row r="1125" ht="22.5" customHeight="1">
      <c r="A1125" s="4"/>
      <c r="D1125" s="6"/>
      <c r="E1125" s="19"/>
      <c r="F1125" s="19"/>
      <c r="G1125" s="9"/>
    </row>
    <row r="1126" ht="22.5" customHeight="1">
      <c r="A1126" s="4"/>
      <c r="D1126" s="6"/>
      <c r="E1126" s="19"/>
      <c r="F1126" s="19"/>
      <c r="G1126" s="9"/>
    </row>
    <row r="1127" ht="22.5" customHeight="1">
      <c r="A1127" s="4"/>
      <c r="D1127" s="6"/>
      <c r="E1127" s="19"/>
      <c r="F1127" s="19"/>
      <c r="G1127" s="9"/>
    </row>
    <row r="1128" ht="22.5" customHeight="1">
      <c r="A1128" s="4"/>
      <c r="D1128" s="6"/>
      <c r="E1128" s="19"/>
      <c r="F1128" s="19"/>
      <c r="G1128" s="9"/>
    </row>
    <row r="1129" ht="22.5" customHeight="1">
      <c r="A1129" s="4"/>
      <c r="D1129" s="6"/>
      <c r="E1129" s="19"/>
      <c r="F1129" s="19"/>
      <c r="G1129" s="9"/>
    </row>
    <row r="1130" ht="22.5" customHeight="1">
      <c r="A1130" s="4"/>
      <c r="D1130" s="6"/>
      <c r="E1130" s="19"/>
      <c r="F1130" s="19"/>
      <c r="G1130" s="9"/>
    </row>
    <row r="1131" ht="22.5" customHeight="1">
      <c r="A1131" s="4"/>
      <c r="D1131" s="6"/>
      <c r="E1131" s="19"/>
      <c r="F1131" s="19"/>
      <c r="G1131" s="9"/>
    </row>
    <row r="1132" ht="22.5" customHeight="1">
      <c r="A1132" s="4"/>
      <c r="D1132" s="6"/>
      <c r="E1132" s="19"/>
      <c r="F1132" s="19"/>
      <c r="G1132" s="9"/>
    </row>
    <row r="1133" ht="22.5" customHeight="1">
      <c r="A1133" s="4"/>
      <c r="D1133" s="6"/>
      <c r="E1133" s="19"/>
      <c r="F1133" s="19"/>
      <c r="G1133" s="9"/>
    </row>
    <row r="1134" ht="22.5" customHeight="1">
      <c r="A1134" s="4"/>
      <c r="D1134" s="6"/>
      <c r="E1134" s="19"/>
      <c r="F1134" s="19"/>
      <c r="G1134" s="9"/>
    </row>
    <row r="1135" ht="22.5" customHeight="1">
      <c r="A1135" s="4"/>
      <c r="D1135" s="6"/>
      <c r="E1135" s="19"/>
      <c r="F1135" s="19"/>
      <c r="G1135" s="9"/>
    </row>
    <row r="1136" ht="22.5" customHeight="1">
      <c r="A1136" s="4"/>
      <c r="D1136" s="6"/>
      <c r="E1136" s="19"/>
      <c r="F1136" s="19"/>
      <c r="G1136" s="9"/>
    </row>
    <row r="1137" ht="22.5" customHeight="1">
      <c r="A1137" s="4"/>
      <c r="D1137" s="6"/>
      <c r="E1137" s="19"/>
      <c r="F1137" s="19"/>
      <c r="G1137" s="9"/>
    </row>
    <row r="1138" ht="22.5" customHeight="1">
      <c r="A1138" s="4"/>
      <c r="D1138" s="6"/>
      <c r="E1138" s="19"/>
      <c r="F1138" s="19"/>
      <c r="G1138" s="9"/>
    </row>
    <row r="1139" ht="22.5" customHeight="1">
      <c r="A1139" s="4"/>
      <c r="D1139" s="6"/>
      <c r="E1139" s="19"/>
      <c r="F1139" s="19"/>
      <c r="G1139" s="9"/>
    </row>
    <row r="1140" ht="22.5" customHeight="1">
      <c r="A1140" s="4"/>
      <c r="D1140" s="6"/>
      <c r="E1140" s="19"/>
      <c r="F1140" s="19"/>
      <c r="G1140" s="9"/>
    </row>
    <row r="1141" ht="22.5" customHeight="1">
      <c r="A1141" s="4"/>
      <c r="D1141" s="6"/>
      <c r="E1141" s="19"/>
      <c r="F1141" s="19"/>
      <c r="G1141" s="9"/>
    </row>
    <row r="1142" ht="22.5" customHeight="1">
      <c r="A1142" s="4"/>
      <c r="D1142" s="6"/>
      <c r="E1142" s="19"/>
      <c r="F1142" s="19"/>
      <c r="G1142" s="9"/>
    </row>
    <row r="1143" ht="22.5" customHeight="1">
      <c r="A1143" s="4"/>
      <c r="D1143" s="6"/>
      <c r="E1143" s="19"/>
      <c r="F1143" s="19"/>
      <c r="G1143" s="9"/>
    </row>
    <row r="1144" ht="22.5" customHeight="1">
      <c r="A1144" s="4"/>
      <c r="D1144" s="6"/>
      <c r="E1144" s="19"/>
      <c r="F1144" s="19"/>
      <c r="G1144" s="9"/>
    </row>
    <row r="1145" ht="22.5" customHeight="1">
      <c r="A1145" s="4"/>
      <c r="D1145" s="6"/>
      <c r="E1145" s="19"/>
      <c r="F1145" s="19"/>
      <c r="G1145" s="9"/>
    </row>
    <row r="1146" ht="22.5" customHeight="1">
      <c r="A1146" s="4"/>
      <c r="D1146" s="6"/>
      <c r="E1146" s="19"/>
      <c r="F1146" s="19"/>
      <c r="G1146" s="9"/>
    </row>
    <row r="1147" ht="22.5" customHeight="1">
      <c r="A1147" s="4"/>
      <c r="D1147" s="6"/>
      <c r="E1147" s="19"/>
      <c r="F1147" s="19"/>
      <c r="G1147" s="9"/>
    </row>
    <row r="1148" ht="22.5" customHeight="1">
      <c r="A1148" s="4"/>
      <c r="D1148" s="6"/>
      <c r="E1148" s="19"/>
      <c r="F1148" s="19"/>
      <c r="G1148" s="9"/>
    </row>
    <row r="1149" ht="22.5" customHeight="1">
      <c r="A1149" s="4"/>
      <c r="D1149" s="6"/>
      <c r="E1149" s="19"/>
      <c r="F1149" s="19"/>
      <c r="G1149" s="9"/>
    </row>
    <row r="1150" ht="22.5" customHeight="1">
      <c r="A1150" s="4"/>
      <c r="D1150" s="6"/>
      <c r="E1150" s="19"/>
      <c r="F1150" s="19"/>
      <c r="G1150" s="9"/>
    </row>
    <row r="1151" ht="22.5" customHeight="1">
      <c r="A1151" s="4"/>
      <c r="D1151" s="6"/>
      <c r="E1151" s="19"/>
      <c r="F1151" s="19"/>
      <c r="G1151" s="9"/>
    </row>
    <row r="1152" ht="22.5" customHeight="1">
      <c r="A1152" s="4"/>
      <c r="D1152" s="6"/>
      <c r="E1152" s="19"/>
      <c r="F1152" s="19"/>
      <c r="G1152" s="9"/>
    </row>
    <row r="1153" ht="22.5" customHeight="1">
      <c r="A1153" s="4"/>
      <c r="D1153" s="6"/>
      <c r="E1153" s="19"/>
      <c r="F1153" s="19"/>
      <c r="G1153" s="9"/>
    </row>
    <row r="1154" ht="22.5" customHeight="1">
      <c r="A1154" s="4"/>
      <c r="D1154" s="6"/>
      <c r="E1154" s="19"/>
      <c r="F1154" s="19"/>
      <c r="G1154" s="9"/>
    </row>
    <row r="1155" ht="22.5" customHeight="1">
      <c r="A1155" s="4"/>
      <c r="D1155" s="6"/>
      <c r="E1155" s="19"/>
      <c r="F1155" s="19"/>
      <c r="G1155" s="9"/>
    </row>
    <row r="1156" ht="22.5" customHeight="1">
      <c r="A1156" s="4"/>
      <c r="D1156" s="6"/>
      <c r="E1156" s="19"/>
      <c r="F1156" s="19"/>
      <c r="G1156" s="9"/>
    </row>
    <row r="1157" ht="22.5" customHeight="1">
      <c r="A1157" s="4"/>
      <c r="D1157" s="6"/>
      <c r="E1157" s="19"/>
      <c r="F1157" s="19"/>
      <c r="G1157" s="9"/>
    </row>
    <row r="1158" ht="22.5" customHeight="1">
      <c r="A1158" s="4"/>
      <c r="D1158" s="6"/>
      <c r="E1158" s="19"/>
      <c r="F1158" s="19"/>
      <c r="G1158" s="9"/>
    </row>
    <row r="1159" ht="22.5" customHeight="1">
      <c r="A1159" s="4"/>
      <c r="D1159" s="6"/>
      <c r="E1159" s="19"/>
      <c r="F1159" s="19"/>
      <c r="G1159" s="9"/>
    </row>
    <row r="1160" ht="22.5" customHeight="1">
      <c r="A1160" s="4"/>
      <c r="D1160" s="6"/>
      <c r="E1160" s="19"/>
      <c r="F1160" s="19"/>
      <c r="G1160" s="9"/>
    </row>
    <row r="1161" ht="22.5" customHeight="1">
      <c r="A1161" s="4"/>
      <c r="D1161" s="6"/>
      <c r="E1161" s="19"/>
      <c r="F1161" s="19"/>
      <c r="G1161" s="9"/>
    </row>
    <row r="1162" ht="22.5" customHeight="1">
      <c r="A1162" s="4"/>
      <c r="D1162" s="6"/>
      <c r="E1162" s="19"/>
      <c r="F1162" s="19"/>
      <c r="G1162" s="9"/>
    </row>
    <row r="1163" ht="22.5" customHeight="1">
      <c r="A1163" s="4"/>
      <c r="D1163" s="6"/>
      <c r="E1163" s="19"/>
      <c r="F1163" s="19"/>
      <c r="G1163" s="9"/>
    </row>
    <row r="1164" ht="22.5" customHeight="1">
      <c r="A1164" s="4"/>
      <c r="D1164" s="6"/>
      <c r="E1164" s="19"/>
      <c r="F1164" s="19"/>
      <c r="G1164" s="9"/>
    </row>
    <row r="1165" ht="22.5" customHeight="1">
      <c r="A1165" s="4"/>
      <c r="D1165" s="6"/>
      <c r="E1165" s="19"/>
      <c r="F1165" s="19"/>
      <c r="G1165" s="9"/>
    </row>
    <row r="1166" ht="22.5" customHeight="1">
      <c r="A1166" s="4"/>
      <c r="D1166" s="6"/>
      <c r="E1166" s="19"/>
      <c r="F1166" s="19"/>
      <c r="G1166" s="9"/>
    </row>
    <row r="1167" ht="22.5" customHeight="1">
      <c r="A1167" s="4"/>
      <c r="D1167" s="6"/>
      <c r="E1167" s="19"/>
      <c r="F1167" s="19"/>
      <c r="G1167" s="9"/>
    </row>
    <row r="1168" ht="22.5" customHeight="1">
      <c r="A1168" s="4"/>
      <c r="D1168" s="6"/>
      <c r="E1168" s="19"/>
      <c r="F1168" s="19"/>
      <c r="G1168" s="9"/>
    </row>
    <row r="1169" ht="22.5" customHeight="1">
      <c r="A1169" s="4"/>
      <c r="D1169" s="6"/>
      <c r="E1169" s="19"/>
      <c r="F1169" s="19"/>
      <c r="G1169" s="9"/>
    </row>
    <row r="1170" ht="22.5" customHeight="1">
      <c r="A1170" s="4"/>
      <c r="D1170" s="6"/>
      <c r="E1170" s="19"/>
      <c r="F1170" s="19"/>
      <c r="G1170" s="9"/>
    </row>
    <row r="1171" ht="22.5" customHeight="1">
      <c r="A1171" s="4"/>
      <c r="D1171" s="6"/>
      <c r="E1171" s="19"/>
      <c r="F1171" s="19"/>
      <c r="G1171" s="9"/>
    </row>
    <row r="1172" ht="22.5" customHeight="1">
      <c r="A1172" s="4"/>
      <c r="D1172" s="6"/>
      <c r="E1172" s="19"/>
      <c r="F1172" s="19"/>
      <c r="G1172" s="9"/>
    </row>
    <row r="1173" ht="22.5" customHeight="1">
      <c r="A1173" s="4"/>
      <c r="D1173" s="6"/>
      <c r="E1173" s="19"/>
      <c r="F1173" s="19"/>
      <c r="G1173" s="9"/>
    </row>
    <row r="1174" ht="22.5" customHeight="1">
      <c r="A1174" s="4"/>
      <c r="D1174" s="6"/>
      <c r="E1174" s="19"/>
      <c r="F1174" s="19"/>
      <c r="G1174" s="9"/>
    </row>
    <row r="1175" ht="22.5" customHeight="1">
      <c r="A1175" s="4"/>
      <c r="D1175" s="6"/>
      <c r="E1175" s="19"/>
      <c r="F1175" s="19"/>
      <c r="G1175" s="9"/>
    </row>
    <row r="1176" ht="22.5" customHeight="1">
      <c r="A1176" s="4"/>
      <c r="D1176" s="6"/>
      <c r="E1176" s="19"/>
      <c r="F1176" s="19"/>
      <c r="G1176" s="9"/>
    </row>
    <row r="1177" ht="22.5" customHeight="1">
      <c r="A1177" s="4"/>
      <c r="D1177" s="6"/>
      <c r="E1177" s="19"/>
      <c r="F1177" s="19"/>
      <c r="G1177" s="9"/>
    </row>
    <row r="1178" ht="22.5" customHeight="1">
      <c r="A1178" s="4"/>
      <c r="D1178" s="6"/>
      <c r="E1178" s="19"/>
      <c r="F1178" s="19"/>
      <c r="G1178" s="9"/>
    </row>
    <row r="1179" ht="22.5" customHeight="1">
      <c r="A1179" s="4"/>
      <c r="D1179" s="6"/>
      <c r="E1179" s="19"/>
      <c r="F1179" s="19"/>
      <c r="G1179" s="9"/>
    </row>
    <row r="1180" ht="22.5" customHeight="1">
      <c r="A1180" s="4"/>
      <c r="D1180" s="6"/>
      <c r="E1180" s="19"/>
      <c r="F1180" s="19"/>
      <c r="G1180" s="9"/>
    </row>
    <row r="1181" ht="22.5" customHeight="1">
      <c r="A1181" s="4"/>
      <c r="D1181" s="6"/>
      <c r="E1181" s="19"/>
      <c r="F1181" s="19"/>
      <c r="G1181" s="9"/>
    </row>
    <row r="1182" ht="22.5" customHeight="1">
      <c r="A1182" s="4"/>
      <c r="D1182" s="6"/>
      <c r="E1182" s="19"/>
      <c r="F1182" s="19"/>
      <c r="G1182" s="9"/>
    </row>
    <row r="1183" ht="22.5" customHeight="1">
      <c r="A1183" s="4"/>
      <c r="D1183" s="6"/>
      <c r="E1183" s="19"/>
      <c r="F1183" s="19"/>
      <c r="G1183" s="9"/>
    </row>
    <row r="1184" ht="22.5" customHeight="1">
      <c r="A1184" s="4"/>
      <c r="D1184" s="6"/>
      <c r="E1184" s="19"/>
      <c r="F1184" s="19"/>
      <c r="G1184" s="9"/>
    </row>
    <row r="1185" ht="22.5" customHeight="1">
      <c r="A1185" s="4"/>
      <c r="D1185" s="6"/>
      <c r="E1185" s="19"/>
      <c r="F1185" s="19"/>
      <c r="G1185" s="9"/>
    </row>
    <row r="1186" ht="22.5" customHeight="1">
      <c r="A1186" s="4"/>
      <c r="D1186" s="6"/>
      <c r="E1186" s="19"/>
      <c r="F1186" s="19"/>
      <c r="G1186" s="9"/>
    </row>
    <row r="1187" ht="22.5" customHeight="1">
      <c r="A1187" s="4"/>
      <c r="D1187" s="6"/>
      <c r="E1187" s="19"/>
      <c r="F1187" s="19"/>
      <c r="G1187" s="9"/>
    </row>
    <row r="1188" ht="22.5" customHeight="1">
      <c r="A1188" s="4"/>
      <c r="D1188" s="6"/>
      <c r="E1188" s="19"/>
      <c r="F1188" s="19"/>
      <c r="G1188" s="9"/>
    </row>
    <row r="1189" ht="22.5" customHeight="1">
      <c r="A1189" s="4"/>
      <c r="D1189" s="6"/>
      <c r="E1189" s="19"/>
      <c r="F1189" s="19"/>
      <c r="G1189" s="9"/>
    </row>
    <row r="1190" ht="22.5" customHeight="1">
      <c r="A1190" s="4"/>
      <c r="D1190" s="6"/>
      <c r="E1190" s="19"/>
      <c r="F1190" s="19"/>
      <c r="G1190" s="9"/>
    </row>
    <row r="1191" ht="22.5" customHeight="1">
      <c r="A1191" s="4"/>
      <c r="D1191" s="6"/>
      <c r="E1191" s="19"/>
      <c r="F1191" s="19"/>
      <c r="G1191" s="9"/>
    </row>
    <row r="1192" ht="22.5" customHeight="1">
      <c r="A1192" s="4"/>
      <c r="D1192" s="6"/>
      <c r="E1192" s="19"/>
      <c r="F1192" s="19"/>
      <c r="G1192" s="9"/>
    </row>
    <row r="1193" ht="22.5" customHeight="1">
      <c r="A1193" s="4"/>
      <c r="D1193" s="6"/>
      <c r="E1193" s="19"/>
      <c r="F1193" s="19"/>
      <c r="G1193" s="9"/>
    </row>
    <row r="1194" ht="22.5" customHeight="1">
      <c r="A1194" s="4"/>
      <c r="D1194" s="6"/>
      <c r="E1194" s="19"/>
      <c r="F1194" s="19"/>
      <c r="G1194" s="9"/>
    </row>
    <row r="1195" ht="22.5" customHeight="1">
      <c r="A1195" s="4"/>
      <c r="D1195" s="6"/>
      <c r="E1195" s="19"/>
      <c r="F1195" s="19"/>
      <c r="G1195" s="9"/>
    </row>
    <row r="1196" ht="22.5" customHeight="1">
      <c r="A1196" s="4"/>
      <c r="D1196" s="6"/>
      <c r="E1196" s="19"/>
      <c r="F1196" s="19"/>
      <c r="G1196" s="9"/>
    </row>
    <row r="1197" ht="22.5" customHeight="1">
      <c r="A1197" s="4"/>
      <c r="D1197" s="6"/>
      <c r="E1197" s="19"/>
      <c r="F1197" s="19"/>
      <c r="G1197" s="9"/>
    </row>
    <row r="1198" ht="22.5" customHeight="1">
      <c r="A1198" s="4"/>
      <c r="D1198" s="6"/>
      <c r="E1198" s="19"/>
      <c r="F1198" s="19"/>
      <c r="G1198" s="9"/>
    </row>
    <row r="1199" ht="22.5" customHeight="1">
      <c r="A1199" s="4"/>
      <c r="D1199" s="6"/>
      <c r="E1199" s="19"/>
      <c r="F1199" s="19"/>
      <c r="G1199" s="9"/>
    </row>
    <row r="1200" ht="22.5" customHeight="1">
      <c r="A1200" s="4"/>
      <c r="D1200" s="6"/>
      <c r="E1200" s="19"/>
      <c r="F1200" s="19"/>
      <c r="G1200" s="9"/>
    </row>
    <row r="1201" ht="22.5" customHeight="1">
      <c r="A1201" s="4"/>
      <c r="D1201" s="6"/>
      <c r="E1201" s="19"/>
      <c r="F1201" s="19"/>
      <c r="G1201" s="9"/>
    </row>
    <row r="1202" ht="22.5" customHeight="1">
      <c r="A1202" s="4"/>
      <c r="D1202" s="6"/>
      <c r="E1202" s="19"/>
      <c r="F1202" s="19"/>
      <c r="G1202" s="9"/>
    </row>
    <row r="1203" ht="22.5" customHeight="1">
      <c r="A1203" s="4"/>
      <c r="D1203" s="6"/>
      <c r="E1203" s="19"/>
      <c r="F1203" s="19"/>
      <c r="G1203" s="9"/>
    </row>
    <row r="1204" ht="22.5" customHeight="1">
      <c r="A1204" s="4"/>
      <c r="D1204" s="6"/>
      <c r="E1204" s="19"/>
      <c r="F1204" s="19"/>
      <c r="G1204" s="9"/>
    </row>
    <row r="1205" ht="22.5" customHeight="1">
      <c r="A1205" s="4"/>
      <c r="D1205" s="6"/>
      <c r="E1205" s="19"/>
      <c r="F1205" s="19"/>
      <c r="G1205" s="9"/>
    </row>
    <row r="1206" ht="22.5" customHeight="1">
      <c r="A1206" s="4"/>
      <c r="D1206" s="6"/>
      <c r="E1206" s="19"/>
      <c r="F1206" s="19"/>
      <c r="G1206" s="9"/>
    </row>
    <row r="1207" ht="22.5" customHeight="1">
      <c r="A1207" s="4"/>
      <c r="D1207" s="6"/>
      <c r="E1207" s="19"/>
      <c r="F1207" s="19"/>
      <c r="G1207" s="9"/>
    </row>
    <row r="1208" ht="22.5" customHeight="1">
      <c r="A1208" s="4"/>
      <c r="D1208" s="6"/>
      <c r="E1208" s="19"/>
      <c r="F1208" s="19"/>
      <c r="G1208" s="9"/>
    </row>
    <row r="1209" ht="22.5" customHeight="1">
      <c r="A1209" s="4"/>
      <c r="D1209" s="6"/>
      <c r="E1209" s="19"/>
      <c r="F1209" s="19"/>
      <c r="G1209" s="9"/>
    </row>
    <row r="1210" ht="22.5" customHeight="1">
      <c r="A1210" s="4"/>
      <c r="D1210" s="6"/>
      <c r="E1210" s="19"/>
      <c r="F1210" s="19"/>
      <c r="G1210" s="9"/>
    </row>
    <row r="1211" ht="22.5" customHeight="1">
      <c r="A1211" s="4"/>
      <c r="D1211" s="6"/>
      <c r="E1211" s="19"/>
      <c r="F1211" s="19"/>
      <c r="G1211" s="9"/>
    </row>
    <row r="1212" ht="22.5" customHeight="1">
      <c r="A1212" s="4"/>
      <c r="D1212" s="6"/>
      <c r="E1212" s="19"/>
      <c r="F1212" s="19"/>
      <c r="G1212" s="9"/>
    </row>
    <row r="1213" ht="22.5" customHeight="1">
      <c r="A1213" s="4"/>
      <c r="D1213" s="6"/>
      <c r="E1213" s="19"/>
      <c r="F1213" s="19"/>
      <c r="G1213" s="9"/>
    </row>
    <row r="1214" ht="22.5" customHeight="1">
      <c r="A1214" s="4"/>
      <c r="D1214" s="6"/>
      <c r="E1214" s="19"/>
      <c r="F1214" s="19"/>
      <c r="G1214" s="9"/>
    </row>
    <row r="1215" ht="22.5" customHeight="1">
      <c r="A1215" s="4"/>
      <c r="D1215" s="6"/>
      <c r="E1215" s="19"/>
      <c r="F1215" s="19"/>
      <c r="G1215" s="9"/>
    </row>
    <row r="1216" ht="22.5" customHeight="1">
      <c r="A1216" s="4"/>
      <c r="D1216" s="6"/>
      <c r="E1216" s="19"/>
      <c r="F1216" s="19"/>
      <c r="G1216" s="9"/>
    </row>
    <row r="1217" ht="22.5" customHeight="1">
      <c r="A1217" s="4"/>
      <c r="D1217" s="6"/>
      <c r="E1217" s="19"/>
      <c r="F1217" s="19"/>
      <c r="G1217" s="9"/>
    </row>
    <row r="1218" ht="22.5" customHeight="1">
      <c r="A1218" s="4"/>
      <c r="D1218" s="6"/>
      <c r="E1218" s="19"/>
      <c r="F1218" s="19"/>
      <c r="G1218" s="9"/>
    </row>
    <row r="1219" ht="22.5" customHeight="1">
      <c r="A1219" s="4"/>
      <c r="D1219" s="6"/>
      <c r="E1219" s="19"/>
      <c r="F1219" s="19"/>
      <c r="G1219" s="9"/>
    </row>
    <row r="1220" ht="22.5" customHeight="1">
      <c r="A1220" s="4"/>
      <c r="D1220" s="6"/>
      <c r="E1220" s="19"/>
      <c r="F1220" s="19"/>
      <c r="G1220" s="9"/>
    </row>
    <row r="1221" ht="22.5" customHeight="1">
      <c r="A1221" s="4"/>
      <c r="D1221" s="6"/>
      <c r="E1221" s="19"/>
      <c r="F1221" s="19"/>
      <c r="G1221" s="9"/>
    </row>
    <row r="1222" ht="22.5" customHeight="1">
      <c r="A1222" s="4"/>
      <c r="D1222" s="6"/>
      <c r="E1222" s="19"/>
      <c r="F1222" s="19"/>
      <c r="G1222" s="9"/>
    </row>
    <row r="1223" ht="22.5" customHeight="1">
      <c r="A1223" s="4"/>
      <c r="D1223" s="6"/>
      <c r="E1223" s="19"/>
      <c r="F1223" s="19"/>
      <c r="G1223" s="9"/>
    </row>
    <row r="1224" ht="22.5" customHeight="1">
      <c r="A1224" s="4"/>
      <c r="D1224" s="6"/>
      <c r="E1224" s="19"/>
      <c r="F1224" s="19"/>
      <c r="G1224" s="9"/>
    </row>
    <row r="1225" ht="22.5" customHeight="1">
      <c r="A1225" s="4"/>
      <c r="D1225" s="6"/>
      <c r="E1225" s="19"/>
      <c r="F1225" s="19"/>
      <c r="G1225" s="9"/>
    </row>
    <row r="1226" ht="22.5" customHeight="1">
      <c r="A1226" s="4"/>
      <c r="D1226" s="6"/>
      <c r="E1226" s="19"/>
      <c r="F1226" s="19"/>
      <c r="G1226" s="9"/>
    </row>
    <row r="1227" ht="22.5" customHeight="1">
      <c r="A1227" s="4"/>
      <c r="D1227" s="6"/>
      <c r="E1227" s="19"/>
      <c r="F1227" s="19"/>
      <c r="G1227" s="9"/>
    </row>
    <row r="1228" ht="22.5" customHeight="1">
      <c r="A1228" s="4"/>
      <c r="D1228" s="6"/>
      <c r="E1228" s="19"/>
      <c r="F1228" s="19"/>
      <c r="G1228" s="9"/>
    </row>
    <row r="1229" ht="22.5" customHeight="1">
      <c r="A1229" s="4"/>
      <c r="D1229" s="6"/>
      <c r="E1229" s="19"/>
      <c r="F1229" s="19"/>
      <c r="G1229" s="9"/>
    </row>
    <row r="1230" ht="22.5" customHeight="1">
      <c r="A1230" s="4"/>
      <c r="D1230" s="6"/>
      <c r="E1230" s="19"/>
      <c r="F1230" s="19"/>
      <c r="G1230" s="9"/>
    </row>
    <row r="1231" ht="22.5" customHeight="1">
      <c r="A1231" s="4"/>
      <c r="D1231" s="6"/>
      <c r="E1231" s="19"/>
      <c r="F1231" s="19"/>
      <c r="G1231" s="9"/>
    </row>
    <row r="1232" ht="22.5" customHeight="1">
      <c r="A1232" s="4"/>
      <c r="D1232" s="6"/>
      <c r="E1232" s="19"/>
      <c r="F1232" s="19"/>
      <c r="G1232" s="9"/>
    </row>
    <row r="1233" ht="22.5" customHeight="1">
      <c r="A1233" s="4"/>
      <c r="D1233" s="6"/>
      <c r="E1233" s="19"/>
      <c r="F1233" s="19"/>
      <c r="G1233" s="9"/>
    </row>
    <row r="1234" ht="22.5" customHeight="1">
      <c r="A1234" s="4"/>
      <c r="D1234" s="6"/>
      <c r="E1234" s="19"/>
      <c r="F1234" s="19"/>
      <c r="G1234" s="9"/>
    </row>
    <row r="1235" ht="22.5" customHeight="1">
      <c r="A1235" s="4"/>
      <c r="D1235" s="6"/>
      <c r="E1235" s="19"/>
      <c r="F1235" s="19"/>
      <c r="G1235" s="9"/>
    </row>
    <row r="1236" ht="22.5" customHeight="1">
      <c r="A1236" s="4"/>
      <c r="D1236" s="6"/>
      <c r="E1236" s="19"/>
      <c r="F1236" s="19"/>
      <c r="G1236" s="9"/>
    </row>
    <row r="1237" ht="22.5" customHeight="1">
      <c r="A1237" s="4"/>
      <c r="D1237" s="6"/>
      <c r="E1237" s="19"/>
      <c r="F1237" s="19"/>
      <c r="G1237" s="9"/>
    </row>
    <row r="1238" ht="22.5" customHeight="1">
      <c r="A1238" s="4"/>
      <c r="D1238" s="6"/>
      <c r="E1238" s="19"/>
      <c r="F1238" s="19"/>
      <c r="G1238" s="9"/>
    </row>
    <row r="1239" ht="22.5" customHeight="1">
      <c r="A1239" s="4"/>
      <c r="D1239" s="6"/>
      <c r="E1239" s="19"/>
      <c r="F1239" s="19"/>
      <c r="G1239" s="9"/>
    </row>
    <row r="1240" ht="22.5" customHeight="1">
      <c r="A1240" s="4"/>
      <c r="D1240" s="6"/>
      <c r="E1240" s="19"/>
      <c r="F1240" s="19"/>
      <c r="G1240" s="9"/>
    </row>
    <row r="1241" ht="22.5" customHeight="1">
      <c r="A1241" s="4"/>
      <c r="D1241" s="6"/>
      <c r="E1241" s="19"/>
      <c r="F1241" s="19"/>
      <c r="G1241" s="9"/>
    </row>
    <row r="1242" ht="22.5" customHeight="1">
      <c r="A1242" s="4"/>
      <c r="D1242" s="6"/>
      <c r="E1242" s="19"/>
      <c r="F1242" s="19"/>
      <c r="G1242" s="9"/>
    </row>
    <row r="1243" ht="22.5" customHeight="1">
      <c r="A1243" s="4"/>
      <c r="D1243" s="6"/>
      <c r="E1243" s="19"/>
      <c r="F1243" s="19"/>
      <c r="G1243" s="9"/>
    </row>
    <row r="1244" ht="22.5" customHeight="1">
      <c r="A1244" s="4"/>
      <c r="D1244" s="6"/>
      <c r="E1244" s="19"/>
      <c r="F1244" s="19"/>
      <c r="G1244" s="9"/>
    </row>
    <row r="1245" ht="22.5" customHeight="1">
      <c r="A1245" s="4"/>
      <c r="D1245" s="6"/>
      <c r="E1245" s="19"/>
      <c r="F1245" s="19"/>
      <c r="G1245" s="9"/>
    </row>
    <row r="1246" ht="22.5" customHeight="1">
      <c r="A1246" s="4"/>
      <c r="D1246" s="6"/>
      <c r="E1246" s="19"/>
      <c r="F1246" s="19"/>
      <c r="G1246" s="9"/>
    </row>
    <row r="1247" ht="22.5" customHeight="1">
      <c r="A1247" s="4"/>
      <c r="D1247" s="6"/>
      <c r="E1247" s="19"/>
      <c r="F1247" s="19"/>
      <c r="G1247" s="9"/>
    </row>
    <row r="1248" ht="22.5" customHeight="1">
      <c r="A1248" s="4"/>
      <c r="D1248" s="6"/>
      <c r="E1248" s="19"/>
      <c r="F1248" s="19"/>
      <c r="G1248" s="9"/>
    </row>
    <row r="1249" ht="22.5" customHeight="1">
      <c r="A1249" s="4"/>
      <c r="D1249" s="6"/>
      <c r="E1249" s="19"/>
      <c r="F1249" s="19"/>
      <c r="G1249" s="9"/>
    </row>
    <row r="1250" ht="22.5" customHeight="1">
      <c r="A1250" s="4"/>
      <c r="D1250" s="6"/>
      <c r="E1250" s="19"/>
      <c r="F1250" s="19"/>
      <c r="G1250" s="9"/>
    </row>
    <row r="1251" ht="22.5" customHeight="1">
      <c r="A1251" s="4"/>
      <c r="D1251" s="6"/>
      <c r="E1251" s="19"/>
      <c r="F1251" s="19"/>
      <c r="G1251" s="9"/>
    </row>
    <row r="1252" ht="22.5" customHeight="1">
      <c r="A1252" s="4"/>
      <c r="D1252" s="6"/>
      <c r="E1252" s="19"/>
      <c r="F1252" s="19"/>
      <c r="G1252" s="9"/>
    </row>
    <row r="1253" ht="22.5" customHeight="1">
      <c r="A1253" s="4"/>
      <c r="D1253" s="6"/>
      <c r="E1253" s="19"/>
      <c r="F1253" s="19"/>
      <c r="G1253" s="9"/>
    </row>
    <row r="1254" ht="22.5" customHeight="1">
      <c r="A1254" s="4"/>
      <c r="D1254" s="6"/>
      <c r="E1254" s="19"/>
      <c r="F1254" s="19"/>
      <c r="G1254" s="9"/>
    </row>
    <row r="1255" ht="22.5" customHeight="1">
      <c r="A1255" s="4"/>
      <c r="D1255" s="6"/>
      <c r="E1255" s="19"/>
      <c r="F1255" s="19"/>
      <c r="G1255" s="9"/>
    </row>
    <row r="1256" ht="22.5" customHeight="1">
      <c r="A1256" s="4"/>
      <c r="D1256" s="6"/>
      <c r="E1256" s="19"/>
      <c r="F1256" s="19"/>
      <c r="G1256" s="9"/>
    </row>
    <row r="1257" ht="22.5" customHeight="1">
      <c r="A1257" s="4"/>
      <c r="D1257" s="6"/>
      <c r="E1257" s="19"/>
      <c r="F1257" s="19"/>
      <c r="G1257" s="9"/>
    </row>
    <row r="1258" ht="22.5" customHeight="1">
      <c r="A1258" s="4"/>
      <c r="D1258" s="6"/>
      <c r="E1258" s="19"/>
      <c r="F1258" s="19"/>
      <c r="G1258" s="9"/>
    </row>
    <row r="1259" ht="22.5" customHeight="1">
      <c r="A1259" s="4"/>
      <c r="D1259" s="6"/>
      <c r="E1259" s="19"/>
      <c r="F1259" s="19"/>
      <c r="G1259" s="9"/>
    </row>
    <row r="1260" ht="22.5" customHeight="1">
      <c r="A1260" s="4"/>
      <c r="D1260" s="6"/>
      <c r="E1260" s="19"/>
      <c r="F1260" s="19"/>
      <c r="G1260" s="9"/>
    </row>
    <row r="1261" ht="22.5" customHeight="1">
      <c r="A1261" s="4"/>
      <c r="D1261" s="6"/>
      <c r="E1261" s="19"/>
      <c r="F1261" s="19"/>
      <c r="G1261" s="9"/>
    </row>
    <row r="1262" ht="22.5" customHeight="1">
      <c r="A1262" s="4"/>
      <c r="D1262" s="6"/>
      <c r="E1262" s="19"/>
      <c r="F1262" s="19"/>
      <c r="G1262" s="9"/>
    </row>
    <row r="1263" ht="22.5" customHeight="1">
      <c r="A1263" s="4"/>
      <c r="D1263" s="6"/>
      <c r="E1263" s="19"/>
      <c r="F1263" s="19"/>
      <c r="G1263" s="9"/>
    </row>
    <row r="1264" ht="22.5" customHeight="1">
      <c r="A1264" s="4"/>
      <c r="D1264" s="6"/>
      <c r="E1264" s="19"/>
      <c r="F1264" s="19"/>
      <c r="G1264" s="9"/>
    </row>
    <row r="1265" ht="22.5" customHeight="1">
      <c r="A1265" s="4"/>
      <c r="D1265" s="6"/>
      <c r="E1265" s="19"/>
      <c r="F1265" s="19"/>
      <c r="G1265" s="9"/>
    </row>
    <row r="1266" ht="22.5" customHeight="1">
      <c r="A1266" s="4"/>
      <c r="D1266" s="6"/>
      <c r="E1266" s="19"/>
      <c r="F1266" s="19"/>
      <c r="G1266" s="9"/>
    </row>
    <row r="1267" ht="22.5" customHeight="1">
      <c r="A1267" s="4"/>
      <c r="D1267" s="6"/>
      <c r="E1267" s="19"/>
      <c r="F1267" s="19"/>
      <c r="G1267" s="9"/>
    </row>
    <row r="1268" ht="22.5" customHeight="1">
      <c r="A1268" s="4"/>
      <c r="D1268" s="6"/>
      <c r="E1268" s="19"/>
      <c r="F1268" s="19"/>
      <c r="G1268" s="9"/>
    </row>
    <row r="1269" ht="22.5" customHeight="1">
      <c r="A1269" s="4"/>
      <c r="D1269" s="6"/>
      <c r="E1269" s="19"/>
      <c r="F1269" s="19"/>
      <c r="G1269" s="9"/>
    </row>
    <row r="1270" ht="22.5" customHeight="1">
      <c r="A1270" s="4"/>
      <c r="D1270" s="6"/>
      <c r="E1270" s="19"/>
      <c r="F1270" s="19"/>
      <c r="G1270" s="9"/>
    </row>
    <row r="1271" ht="22.5" customHeight="1">
      <c r="A1271" s="4"/>
      <c r="D1271" s="6"/>
      <c r="E1271" s="19"/>
      <c r="F1271" s="19"/>
      <c r="G1271" s="9"/>
    </row>
    <row r="1272" ht="22.5" customHeight="1">
      <c r="A1272" s="4"/>
      <c r="D1272" s="6"/>
      <c r="E1272" s="19"/>
      <c r="F1272" s="19"/>
      <c r="G1272" s="9"/>
    </row>
    <row r="1273" ht="22.5" customHeight="1">
      <c r="A1273" s="4"/>
      <c r="D1273" s="6"/>
      <c r="E1273" s="19"/>
      <c r="F1273" s="19"/>
      <c r="G1273" s="9"/>
    </row>
    <row r="1274" ht="22.5" customHeight="1">
      <c r="A1274" s="4"/>
      <c r="D1274" s="6"/>
      <c r="E1274" s="19"/>
      <c r="F1274" s="19"/>
      <c r="G1274" s="9"/>
    </row>
    <row r="1275" ht="22.5" customHeight="1">
      <c r="A1275" s="4"/>
      <c r="D1275" s="6"/>
      <c r="E1275" s="19"/>
      <c r="F1275" s="19"/>
      <c r="G1275" s="9"/>
    </row>
    <row r="1276" ht="22.5" customHeight="1">
      <c r="A1276" s="4"/>
      <c r="D1276" s="6"/>
      <c r="E1276" s="19"/>
      <c r="F1276" s="19"/>
      <c r="G1276" s="9"/>
    </row>
    <row r="1277" ht="22.5" customHeight="1">
      <c r="A1277" s="4"/>
      <c r="D1277" s="6"/>
      <c r="E1277" s="19"/>
      <c r="F1277" s="19"/>
      <c r="G1277" s="9"/>
    </row>
    <row r="1278" ht="22.5" customHeight="1">
      <c r="A1278" s="4"/>
      <c r="D1278" s="6"/>
      <c r="E1278" s="19"/>
      <c r="F1278" s="19"/>
      <c r="G1278" s="9"/>
    </row>
    <row r="1279" ht="22.5" customHeight="1">
      <c r="A1279" s="4"/>
      <c r="D1279" s="6"/>
      <c r="E1279" s="19"/>
      <c r="F1279" s="19"/>
      <c r="G1279" s="9"/>
    </row>
    <row r="1280" ht="22.5" customHeight="1">
      <c r="A1280" s="4"/>
      <c r="D1280" s="6"/>
      <c r="E1280" s="19"/>
      <c r="F1280" s="19"/>
      <c r="G1280" s="9"/>
    </row>
    <row r="1281" ht="22.5" customHeight="1">
      <c r="A1281" s="4"/>
      <c r="D1281" s="6"/>
      <c r="E1281" s="19"/>
      <c r="F1281" s="19"/>
      <c r="G1281" s="9"/>
    </row>
    <row r="1282" ht="22.5" customHeight="1">
      <c r="A1282" s="4"/>
      <c r="D1282" s="6"/>
      <c r="E1282" s="19"/>
      <c r="F1282" s="19"/>
      <c r="G1282" s="9"/>
    </row>
    <row r="1283" ht="22.5" customHeight="1">
      <c r="A1283" s="4"/>
      <c r="D1283" s="6"/>
      <c r="E1283" s="19"/>
      <c r="F1283" s="19"/>
      <c r="G1283" s="9"/>
    </row>
    <row r="1284" ht="22.5" customHeight="1">
      <c r="A1284" s="4"/>
      <c r="D1284" s="6"/>
      <c r="E1284" s="19"/>
      <c r="F1284" s="19"/>
      <c r="G1284" s="9"/>
    </row>
    <row r="1285" ht="22.5" customHeight="1">
      <c r="A1285" s="4"/>
      <c r="D1285" s="6"/>
      <c r="E1285" s="19"/>
      <c r="F1285" s="19"/>
      <c r="G1285" s="9"/>
    </row>
    <row r="1286" ht="22.5" customHeight="1">
      <c r="A1286" s="4"/>
      <c r="D1286" s="6"/>
      <c r="E1286" s="19"/>
      <c r="F1286" s="19"/>
      <c r="G1286" s="9"/>
    </row>
    <row r="1287" ht="22.5" customHeight="1">
      <c r="A1287" s="4"/>
      <c r="D1287" s="6"/>
      <c r="E1287" s="19"/>
      <c r="F1287" s="19"/>
      <c r="G1287" s="9"/>
    </row>
    <row r="1288" ht="22.5" customHeight="1">
      <c r="A1288" s="4"/>
      <c r="D1288" s="6"/>
      <c r="E1288" s="19"/>
      <c r="F1288" s="19"/>
      <c r="G1288" s="9"/>
    </row>
    <row r="1289" ht="22.5" customHeight="1">
      <c r="A1289" s="4"/>
      <c r="D1289" s="6"/>
      <c r="E1289" s="19"/>
      <c r="F1289" s="19"/>
      <c r="G1289" s="9"/>
    </row>
    <row r="1290" ht="22.5" customHeight="1">
      <c r="A1290" s="4"/>
      <c r="D1290" s="6"/>
      <c r="E1290" s="19"/>
      <c r="F1290" s="19"/>
      <c r="G1290" s="9"/>
    </row>
    <row r="1291" ht="22.5" customHeight="1">
      <c r="A1291" s="4"/>
      <c r="D1291" s="6"/>
      <c r="E1291" s="19"/>
      <c r="F1291" s="19"/>
      <c r="G1291" s="9"/>
    </row>
    <row r="1292" ht="22.5" customHeight="1">
      <c r="A1292" s="4"/>
      <c r="D1292" s="6"/>
      <c r="E1292" s="19"/>
      <c r="F1292" s="19"/>
      <c r="G1292" s="9"/>
    </row>
    <row r="1293" ht="22.5" customHeight="1">
      <c r="A1293" s="4"/>
      <c r="D1293" s="6"/>
      <c r="E1293" s="19"/>
      <c r="F1293" s="19"/>
      <c r="G1293" s="9"/>
    </row>
    <row r="1294" ht="22.5" customHeight="1">
      <c r="A1294" s="4"/>
      <c r="D1294" s="6"/>
      <c r="E1294" s="19"/>
      <c r="F1294" s="19"/>
      <c r="G1294" s="9"/>
    </row>
    <row r="1295" ht="22.5" customHeight="1">
      <c r="A1295" s="4"/>
      <c r="D1295" s="6"/>
      <c r="E1295" s="19"/>
      <c r="F1295" s="19"/>
      <c r="G1295" s="9"/>
    </row>
    <row r="1296" ht="22.5" customHeight="1">
      <c r="A1296" s="4"/>
      <c r="D1296" s="6"/>
      <c r="E1296" s="19"/>
      <c r="F1296" s="19"/>
      <c r="G1296" s="9"/>
    </row>
    <row r="1297" ht="22.5" customHeight="1">
      <c r="A1297" s="4"/>
      <c r="D1297" s="6"/>
      <c r="E1297" s="19"/>
      <c r="F1297" s="19"/>
      <c r="G1297" s="9"/>
    </row>
    <row r="1298" ht="22.5" customHeight="1">
      <c r="A1298" s="4"/>
      <c r="D1298" s="6"/>
      <c r="E1298" s="19"/>
      <c r="F1298" s="19"/>
      <c r="G1298" s="9"/>
    </row>
    <row r="1299" ht="22.5" customHeight="1">
      <c r="A1299" s="4"/>
      <c r="D1299" s="6"/>
      <c r="E1299" s="19"/>
      <c r="F1299" s="19"/>
      <c r="G1299" s="9"/>
    </row>
    <row r="1300" ht="22.5" customHeight="1">
      <c r="A1300" s="4"/>
      <c r="D1300" s="6"/>
      <c r="E1300" s="19"/>
      <c r="F1300" s="19"/>
      <c r="G1300" s="9"/>
    </row>
    <row r="1301" ht="22.5" customHeight="1">
      <c r="A1301" s="4"/>
      <c r="D1301" s="6"/>
      <c r="E1301" s="19"/>
      <c r="F1301" s="19"/>
      <c r="G1301" s="9"/>
    </row>
    <row r="1302" ht="22.5" customHeight="1">
      <c r="A1302" s="4"/>
      <c r="D1302" s="6"/>
      <c r="E1302" s="19"/>
      <c r="F1302" s="19"/>
      <c r="G1302" s="9"/>
    </row>
    <row r="1303" ht="22.5" customHeight="1">
      <c r="A1303" s="4"/>
      <c r="D1303" s="6"/>
      <c r="E1303" s="19"/>
      <c r="F1303" s="19"/>
      <c r="G1303" s="9"/>
    </row>
    <row r="1304" ht="22.5" customHeight="1">
      <c r="A1304" s="4"/>
      <c r="D1304" s="6"/>
      <c r="E1304" s="19"/>
      <c r="F1304" s="19"/>
      <c r="G1304" s="9"/>
    </row>
    <row r="1305" ht="22.5" customHeight="1">
      <c r="A1305" s="4"/>
      <c r="D1305" s="6"/>
      <c r="E1305" s="19"/>
      <c r="F1305" s="19"/>
      <c r="G1305" s="9"/>
    </row>
    <row r="1306" ht="22.5" customHeight="1">
      <c r="A1306" s="4"/>
      <c r="D1306" s="6"/>
      <c r="E1306" s="19"/>
      <c r="F1306" s="19"/>
      <c r="G1306" s="9"/>
    </row>
    <row r="1307" ht="22.5" customHeight="1">
      <c r="A1307" s="4"/>
      <c r="D1307" s="6"/>
      <c r="E1307" s="19"/>
      <c r="F1307" s="19"/>
      <c r="G1307" s="9"/>
    </row>
    <row r="1308" ht="22.5" customHeight="1">
      <c r="A1308" s="4"/>
      <c r="D1308" s="6"/>
      <c r="E1308" s="19"/>
      <c r="F1308" s="19"/>
      <c r="G1308" s="9"/>
    </row>
    <row r="1309" ht="22.5" customHeight="1">
      <c r="A1309" s="4"/>
      <c r="D1309" s="6"/>
      <c r="E1309" s="19"/>
      <c r="F1309" s="19"/>
      <c r="G1309" s="9"/>
    </row>
    <row r="1310" ht="22.5" customHeight="1">
      <c r="A1310" s="4"/>
      <c r="D1310" s="6"/>
      <c r="E1310" s="19"/>
      <c r="F1310" s="19"/>
      <c r="G1310" s="9"/>
    </row>
    <row r="1311" ht="22.5" customHeight="1">
      <c r="A1311" s="4"/>
      <c r="D1311" s="6"/>
      <c r="E1311" s="19"/>
      <c r="F1311" s="19"/>
      <c r="G1311" s="9"/>
    </row>
    <row r="1312" ht="22.5" customHeight="1">
      <c r="A1312" s="4"/>
      <c r="D1312" s="6"/>
      <c r="E1312" s="19"/>
      <c r="F1312" s="19"/>
      <c r="G1312" s="9"/>
    </row>
    <row r="1313" ht="22.5" customHeight="1">
      <c r="A1313" s="4"/>
      <c r="D1313" s="6"/>
      <c r="E1313" s="19"/>
      <c r="F1313" s="19"/>
      <c r="G1313" s="9"/>
    </row>
    <row r="1314" ht="22.5" customHeight="1">
      <c r="A1314" s="4"/>
      <c r="D1314" s="6"/>
      <c r="E1314" s="19"/>
      <c r="F1314" s="19"/>
      <c r="G1314" s="9"/>
    </row>
    <row r="1315" ht="22.5" customHeight="1">
      <c r="A1315" s="4"/>
      <c r="D1315" s="6"/>
      <c r="E1315" s="19"/>
      <c r="F1315" s="19"/>
      <c r="G1315" s="9"/>
    </row>
    <row r="1316" ht="22.5" customHeight="1">
      <c r="A1316" s="4"/>
      <c r="D1316" s="6"/>
      <c r="E1316" s="19"/>
      <c r="F1316" s="19"/>
      <c r="G1316" s="9"/>
    </row>
    <row r="1317" ht="22.5" customHeight="1">
      <c r="A1317" s="4"/>
      <c r="D1317" s="6"/>
      <c r="E1317" s="19"/>
      <c r="F1317" s="19"/>
      <c r="G1317" s="9"/>
    </row>
    <row r="1318" ht="22.5" customHeight="1">
      <c r="A1318" s="4"/>
      <c r="D1318" s="6"/>
      <c r="E1318" s="19"/>
      <c r="F1318" s="19"/>
      <c r="G1318" s="9"/>
    </row>
    <row r="1319" ht="22.5" customHeight="1">
      <c r="A1319" s="4"/>
      <c r="D1319" s="6"/>
      <c r="E1319" s="19"/>
      <c r="F1319" s="19"/>
      <c r="G1319" s="9"/>
    </row>
    <row r="1320" ht="22.5" customHeight="1">
      <c r="A1320" s="4"/>
      <c r="D1320" s="6"/>
      <c r="E1320" s="19"/>
      <c r="F1320" s="19"/>
      <c r="G1320" s="9"/>
    </row>
    <row r="1321" ht="22.5" customHeight="1">
      <c r="A1321" s="4"/>
      <c r="D1321" s="6"/>
      <c r="E1321" s="19"/>
      <c r="F1321" s="19"/>
      <c r="G1321" s="9"/>
    </row>
    <row r="1322" ht="22.5" customHeight="1">
      <c r="A1322" s="4"/>
      <c r="D1322" s="6"/>
      <c r="E1322" s="19"/>
      <c r="F1322" s="19"/>
      <c r="G1322" s="9"/>
    </row>
    <row r="1323" ht="22.5" customHeight="1">
      <c r="A1323" s="4"/>
      <c r="D1323" s="6"/>
      <c r="E1323" s="19"/>
      <c r="F1323" s="19"/>
      <c r="G1323" s="9"/>
    </row>
    <row r="1324" ht="22.5" customHeight="1">
      <c r="A1324" s="4"/>
      <c r="D1324" s="6"/>
      <c r="E1324" s="19"/>
      <c r="F1324" s="19"/>
      <c r="G1324" s="9"/>
    </row>
    <row r="1325" ht="22.5" customHeight="1">
      <c r="A1325" s="4"/>
      <c r="D1325" s="6"/>
      <c r="E1325" s="19"/>
      <c r="F1325" s="19"/>
      <c r="G1325" s="9"/>
    </row>
    <row r="1326" ht="22.5" customHeight="1">
      <c r="A1326" s="4"/>
      <c r="D1326" s="6"/>
      <c r="E1326" s="19"/>
      <c r="F1326" s="19"/>
      <c r="G1326" s="9"/>
    </row>
    <row r="1327" ht="22.5" customHeight="1">
      <c r="A1327" s="4"/>
      <c r="D1327" s="6"/>
      <c r="E1327" s="19"/>
      <c r="F1327" s="19"/>
      <c r="G1327" s="9"/>
    </row>
    <row r="1328" ht="22.5" customHeight="1">
      <c r="A1328" s="4"/>
      <c r="D1328" s="6"/>
      <c r="E1328" s="19"/>
      <c r="F1328" s="19"/>
      <c r="G1328" s="9"/>
    </row>
    <row r="1329" ht="22.5" customHeight="1">
      <c r="A1329" s="4"/>
      <c r="D1329" s="6"/>
      <c r="E1329" s="19"/>
      <c r="F1329" s="19"/>
      <c r="G1329" s="9"/>
    </row>
    <row r="1330" ht="22.5" customHeight="1">
      <c r="A1330" s="4"/>
      <c r="D1330" s="6"/>
      <c r="E1330" s="19"/>
      <c r="F1330" s="19"/>
      <c r="G1330" s="9"/>
    </row>
    <row r="1331" ht="22.5" customHeight="1">
      <c r="A1331" s="4"/>
      <c r="D1331" s="6"/>
      <c r="E1331" s="19"/>
      <c r="F1331" s="19"/>
      <c r="G1331" s="9"/>
    </row>
    <row r="1332" ht="22.5" customHeight="1">
      <c r="A1332" s="4"/>
      <c r="D1332" s="6"/>
      <c r="E1332" s="19"/>
      <c r="F1332" s="19"/>
      <c r="G1332" s="9"/>
    </row>
    <row r="1333" ht="22.5" customHeight="1">
      <c r="A1333" s="4"/>
      <c r="D1333" s="6"/>
      <c r="E1333" s="19"/>
      <c r="F1333" s="19"/>
      <c r="G1333" s="9"/>
    </row>
    <row r="1334" ht="22.5" customHeight="1">
      <c r="A1334" s="4"/>
      <c r="D1334" s="6"/>
      <c r="E1334" s="19"/>
      <c r="F1334" s="19"/>
      <c r="G1334" s="9"/>
    </row>
    <row r="1335" ht="22.5" customHeight="1">
      <c r="A1335" s="4"/>
      <c r="D1335" s="6"/>
      <c r="E1335" s="19"/>
      <c r="F1335" s="19"/>
      <c r="G1335" s="9"/>
    </row>
    <row r="1336" ht="22.5" customHeight="1">
      <c r="A1336" s="4"/>
      <c r="D1336" s="6"/>
      <c r="E1336" s="19"/>
      <c r="F1336" s="19"/>
      <c r="G1336" s="9"/>
    </row>
    <row r="1337" ht="22.5" customHeight="1">
      <c r="A1337" s="4"/>
      <c r="D1337" s="6"/>
      <c r="E1337" s="19"/>
      <c r="F1337" s="19"/>
      <c r="G1337" s="9"/>
    </row>
    <row r="1338" ht="22.5" customHeight="1">
      <c r="A1338" s="4"/>
      <c r="D1338" s="6"/>
      <c r="E1338" s="19"/>
      <c r="F1338" s="19"/>
      <c r="G1338" s="9"/>
    </row>
    <row r="1339" ht="22.5" customHeight="1">
      <c r="A1339" s="4"/>
      <c r="D1339" s="6"/>
      <c r="E1339" s="19"/>
      <c r="F1339" s="19"/>
      <c r="G1339" s="9"/>
    </row>
    <row r="1340" ht="22.5" customHeight="1">
      <c r="A1340" s="4"/>
      <c r="D1340" s="6"/>
      <c r="E1340" s="19"/>
      <c r="F1340" s="19"/>
      <c r="G1340" s="9"/>
    </row>
    <row r="1341" ht="22.5" customHeight="1">
      <c r="A1341" s="4"/>
      <c r="D1341" s="6"/>
      <c r="E1341" s="19"/>
      <c r="F1341" s="19"/>
      <c r="G1341" s="9"/>
    </row>
    <row r="1342" ht="22.5" customHeight="1">
      <c r="A1342" s="4"/>
      <c r="D1342" s="6"/>
      <c r="E1342" s="19"/>
      <c r="F1342" s="19"/>
      <c r="G1342" s="9"/>
    </row>
    <row r="1343" ht="22.5" customHeight="1">
      <c r="A1343" s="4"/>
      <c r="D1343" s="6"/>
      <c r="E1343" s="19"/>
      <c r="F1343" s="19"/>
      <c r="G1343" s="9"/>
    </row>
    <row r="1344" ht="22.5" customHeight="1">
      <c r="A1344" s="4"/>
      <c r="D1344" s="6"/>
      <c r="E1344" s="19"/>
      <c r="F1344" s="19"/>
      <c r="G1344" s="9"/>
    </row>
    <row r="1345" ht="22.5" customHeight="1">
      <c r="A1345" s="4"/>
      <c r="D1345" s="6"/>
      <c r="E1345" s="19"/>
      <c r="F1345" s="19"/>
      <c r="G1345" s="9"/>
    </row>
    <row r="1346" ht="22.5" customHeight="1">
      <c r="A1346" s="4"/>
      <c r="D1346" s="6"/>
      <c r="E1346" s="19"/>
      <c r="F1346" s="19"/>
      <c r="G1346" s="9"/>
    </row>
    <row r="1347" ht="22.5" customHeight="1">
      <c r="A1347" s="4"/>
      <c r="D1347" s="6"/>
      <c r="E1347" s="19"/>
      <c r="F1347" s="19"/>
      <c r="G1347" s="9"/>
    </row>
    <row r="1348" ht="22.5" customHeight="1">
      <c r="A1348" s="4"/>
      <c r="D1348" s="6"/>
      <c r="E1348" s="19"/>
      <c r="F1348" s="19"/>
      <c r="G1348" s="9"/>
    </row>
    <row r="1349" ht="22.5" customHeight="1">
      <c r="A1349" s="4"/>
      <c r="D1349" s="6"/>
      <c r="E1349" s="19"/>
      <c r="F1349" s="19"/>
      <c r="G1349" s="9"/>
    </row>
    <row r="1350" ht="22.5" customHeight="1">
      <c r="A1350" s="4"/>
      <c r="D1350" s="6"/>
      <c r="E1350" s="19"/>
      <c r="F1350" s="19"/>
      <c r="G1350" s="9"/>
    </row>
    <row r="1351" ht="22.5" customHeight="1">
      <c r="A1351" s="4"/>
      <c r="D1351" s="6"/>
      <c r="E1351" s="19"/>
      <c r="F1351" s="19"/>
      <c r="G1351" s="9"/>
    </row>
    <row r="1352" ht="22.5" customHeight="1">
      <c r="A1352" s="4"/>
      <c r="D1352" s="6"/>
      <c r="E1352" s="19"/>
      <c r="F1352" s="19"/>
      <c r="G1352" s="9"/>
    </row>
    <row r="1353" ht="22.5" customHeight="1">
      <c r="A1353" s="4"/>
      <c r="D1353" s="6"/>
      <c r="E1353" s="19"/>
      <c r="F1353" s="19"/>
      <c r="G1353" s="9"/>
    </row>
    <row r="1354" ht="22.5" customHeight="1">
      <c r="A1354" s="4"/>
      <c r="D1354" s="6"/>
      <c r="E1354" s="19"/>
      <c r="F1354" s="19"/>
      <c r="G1354" s="9"/>
    </row>
    <row r="1355" ht="22.5" customHeight="1">
      <c r="A1355" s="4"/>
      <c r="D1355" s="6"/>
      <c r="E1355" s="19"/>
      <c r="F1355" s="19"/>
      <c r="G1355" s="9"/>
    </row>
    <row r="1356" ht="22.5" customHeight="1">
      <c r="A1356" s="4"/>
      <c r="D1356" s="6"/>
      <c r="E1356" s="19"/>
      <c r="F1356" s="19"/>
      <c r="G1356" s="9"/>
    </row>
    <row r="1357" ht="22.5" customHeight="1">
      <c r="A1357" s="4"/>
      <c r="D1357" s="6"/>
      <c r="E1357" s="19"/>
      <c r="F1357" s="19"/>
      <c r="G1357" s="9"/>
    </row>
    <row r="1358" ht="22.5" customHeight="1">
      <c r="A1358" s="4"/>
      <c r="D1358" s="6"/>
      <c r="E1358" s="19"/>
      <c r="F1358" s="19"/>
      <c r="G1358" s="9"/>
    </row>
    <row r="1359" ht="22.5" customHeight="1">
      <c r="A1359" s="4"/>
      <c r="D1359" s="6"/>
      <c r="E1359" s="19"/>
      <c r="F1359" s="19"/>
      <c r="G1359" s="9"/>
    </row>
    <row r="1360" ht="22.5" customHeight="1">
      <c r="A1360" s="4"/>
      <c r="D1360" s="6"/>
      <c r="E1360" s="19"/>
      <c r="F1360" s="19"/>
      <c r="G1360" s="9"/>
    </row>
    <row r="1361" ht="22.5" customHeight="1">
      <c r="A1361" s="4"/>
      <c r="D1361" s="6"/>
      <c r="E1361" s="19"/>
      <c r="F1361" s="19"/>
      <c r="G1361" s="9"/>
    </row>
    <row r="1362" ht="22.5" customHeight="1">
      <c r="A1362" s="4"/>
      <c r="D1362" s="6"/>
      <c r="E1362" s="19"/>
      <c r="F1362" s="19"/>
      <c r="G1362" s="9"/>
    </row>
    <row r="1363" ht="22.5" customHeight="1">
      <c r="A1363" s="4"/>
      <c r="D1363" s="6"/>
      <c r="E1363" s="19"/>
      <c r="F1363" s="19"/>
      <c r="G1363" s="9"/>
    </row>
    <row r="1364" ht="22.5" customHeight="1">
      <c r="A1364" s="4"/>
      <c r="D1364" s="6"/>
      <c r="E1364" s="19"/>
      <c r="F1364" s="19"/>
      <c r="G1364" s="9"/>
    </row>
    <row r="1365" ht="22.5" customHeight="1">
      <c r="A1365" s="4"/>
      <c r="D1365" s="6"/>
      <c r="E1365" s="19"/>
      <c r="F1365" s="19"/>
      <c r="G1365" s="9"/>
    </row>
    <row r="1366" ht="22.5" customHeight="1">
      <c r="A1366" s="4"/>
      <c r="D1366" s="6"/>
      <c r="E1366" s="19"/>
      <c r="F1366" s="19"/>
      <c r="G1366" s="9"/>
    </row>
    <row r="1367" ht="22.5" customHeight="1">
      <c r="A1367" s="4"/>
      <c r="D1367" s="6"/>
      <c r="E1367" s="19"/>
      <c r="F1367" s="19"/>
      <c r="G1367" s="9"/>
    </row>
    <row r="1368" ht="22.5" customHeight="1">
      <c r="A1368" s="4"/>
      <c r="D1368" s="6"/>
      <c r="E1368" s="19"/>
      <c r="F1368" s="19"/>
      <c r="G1368" s="9"/>
    </row>
    <row r="1369" ht="22.5" customHeight="1">
      <c r="A1369" s="4"/>
      <c r="D1369" s="6"/>
      <c r="E1369" s="19"/>
      <c r="F1369" s="19"/>
      <c r="G1369" s="9"/>
    </row>
    <row r="1370" ht="22.5" customHeight="1">
      <c r="A1370" s="4"/>
      <c r="D1370" s="6"/>
      <c r="E1370" s="19"/>
      <c r="F1370" s="19"/>
      <c r="G1370" s="9"/>
    </row>
    <row r="1371" ht="22.5" customHeight="1">
      <c r="A1371" s="4"/>
      <c r="D1371" s="6"/>
      <c r="E1371" s="19"/>
      <c r="F1371" s="19"/>
      <c r="G1371" s="9"/>
    </row>
    <row r="1372" ht="22.5" customHeight="1">
      <c r="A1372" s="4"/>
      <c r="D1372" s="6"/>
      <c r="E1372" s="19"/>
      <c r="F1372" s="19"/>
      <c r="G1372" s="9"/>
    </row>
    <row r="1373" ht="22.5" customHeight="1">
      <c r="A1373" s="4"/>
      <c r="D1373" s="6"/>
      <c r="E1373" s="19"/>
      <c r="F1373" s="19"/>
      <c r="G1373" s="9"/>
    </row>
    <row r="1374" ht="22.5" customHeight="1">
      <c r="A1374" s="4"/>
      <c r="D1374" s="6"/>
      <c r="E1374" s="19"/>
      <c r="F1374" s="19"/>
      <c r="G1374" s="9"/>
    </row>
    <row r="1375" ht="22.5" customHeight="1">
      <c r="A1375" s="4"/>
      <c r="D1375" s="6"/>
      <c r="E1375" s="19"/>
      <c r="F1375" s="19"/>
      <c r="G1375" s="9"/>
    </row>
    <row r="1376" ht="22.5" customHeight="1">
      <c r="A1376" s="4"/>
      <c r="D1376" s="6"/>
      <c r="E1376" s="19"/>
      <c r="F1376" s="19"/>
      <c r="G1376" s="9"/>
    </row>
    <row r="1377" ht="22.5" customHeight="1">
      <c r="A1377" s="4"/>
      <c r="D1377" s="6"/>
      <c r="E1377" s="19"/>
      <c r="F1377" s="19"/>
      <c r="G1377" s="9"/>
    </row>
    <row r="1378" ht="22.5" customHeight="1">
      <c r="A1378" s="4"/>
      <c r="D1378" s="6"/>
      <c r="E1378" s="19"/>
      <c r="F1378" s="19"/>
      <c r="G1378" s="9"/>
    </row>
    <row r="1379" ht="22.5" customHeight="1">
      <c r="A1379" s="4"/>
      <c r="D1379" s="6"/>
      <c r="E1379" s="19"/>
      <c r="F1379" s="19"/>
      <c r="G1379" s="9"/>
    </row>
    <row r="1380" ht="22.5" customHeight="1">
      <c r="A1380" s="4"/>
      <c r="D1380" s="6"/>
      <c r="E1380" s="19"/>
      <c r="F1380" s="19"/>
      <c r="G1380" s="9"/>
    </row>
    <row r="1381" ht="22.5" customHeight="1">
      <c r="A1381" s="4"/>
      <c r="D1381" s="6"/>
      <c r="E1381" s="19"/>
      <c r="F1381" s="19"/>
      <c r="G1381" s="9"/>
    </row>
    <row r="1382" ht="22.5" customHeight="1">
      <c r="A1382" s="4"/>
      <c r="D1382" s="6"/>
      <c r="E1382" s="19"/>
      <c r="F1382" s="19"/>
      <c r="G1382" s="9"/>
    </row>
    <row r="1383" ht="22.5" customHeight="1">
      <c r="A1383" s="4"/>
      <c r="D1383" s="6"/>
      <c r="E1383" s="19"/>
      <c r="F1383" s="19"/>
      <c r="G1383" s="9"/>
    </row>
    <row r="1384" ht="22.5" customHeight="1">
      <c r="A1384" s="4"/>
      <c r="D1384" s="6"/>
      <c r="E1384" s="19"/>
      <c r="F1384" s="19"/>
      <c r="G1384" s="9"/>
    </row>
    <row r="1385" ht="22.5" customHeight="1">
      <c r="A1385" s="4"/>
      <c r="D1385" s="6"/>
      <c r="E1385" s="19"/>
      <c r="F1385" s="19"/>
      <c r="G1385" s="9"/>
    </row>
    <row r="1386" ht="22.5" customHeight="1">
      <c r="A1386" s="4"/>
      <c r="D1386" s="6"/>
      <c r="E1386" s="19"/>
      <c r="F1386" s="19"/>
      <c r="G1386" s="9"/>
    </row>
    <row r="1387" ht="22.5" customHeight="1">
      <c r="A1387" s="4"/>
      <c r="D1387" s="6"/>
      <c r="E1387" s="19"/>
      <c r="F1387" s="19"/>
      <c r="G1387" s="9"/>
    </row>
    <row r="1388" ht="22.5" customHeight="1">
      <c r="A1388" s="4"/>
      <c r="D1388" s="6"/>
      <c r="E1388" s="19"/>
      <c r="F1388" s="19"/>
      <c r="G1388" s="9"/>
    </row>
    <row r="1389" ht="22.5" customHeight="1">
      <c r="A1389" s="4"/>
      <c r="D1389" s="6"/>
      <c r="E1389" s="19"/>
      <c r="F1389" s="19"/>
      <c r="G1389" s="9"/>
    </row>
    <row r="1390" ht="22.5" customHeight="1">
      <c r="A1390" s="4"/>
      <c r="D1390" s="6"/>
      <c r="E1390" s="19"/>
      <c r="F1390" s="19"/>
      <c r="G1390" s="9"/>
    </row>
    <row r="1391" ht="22.5" customHeight="1">
      <c r="A1391" s="4"/>
      <c r="D1391" s="6"/>
      <c r="E1391" s="19"/>
      <c r="F1391" s="19"/>
      <c r="G1391" s="9"/>
    </row>
    <row r="1392" ht="22.5" customHeight="1">
      <c r="A1392" s="4"/>
      <c r="D1392" s="6"/>
      <c r="E1392" s="19"/>
      <c r="F1392" s="19"/>
      <c r="G1392" s="9"/>
    </row>
    <row r="1393" ht="22.5" customHeight="1">
      <c r="A1393" s="4"/>
      <c r="D1393" s="6"/>
      <c r="E1393" s="19"/>
      <c r="F1393" s="19"/>
      <c r="G1393" s="9"/>
    </row>
    <row r="1394" ht="22.5" customHeight="1">
      <c r="A1394" s="4"/>
      <c r="D1394" s="6"/>
      <c r="E1394" s="19"/>
      <c r="F1394" s="19"/>
      <c r="G1394" s="9"/>
    </row>
    <row r="1395" ht="22.5" customHeight="1">
      <c r="A1395" s="4"/>
      <c r="D1395" s="6"/>
      <c r="E1395" s="19"/>
      <c r="F1395" s="19"/>
      <c r="G1395" s="9"/>
    </row>
    <row r="1396" ht="22.5" customHeight="1">
      <c r="A1396" s="4"/>
      <c r="D1396" s="6"/>
      <c r="E1396" s="19"/>
      <c r="F1396" s="19"/>
      <c r="G1396" s="9"/>
    </row>
    <row r="1397" ht="22.5" customHeight="1">
      <c r="A1397" s="4"/>
      <c r="D1397" s="6"/>
      <c r="E1397" s="19"/>
      <c r="F1397" s="19"/>
      <c r="G1397" s="9"/>
    </row>
    <row r="1398" ht="22.5" customHeight="1">
      <c r="A1398" s="4"/>
      <c r="D1398" s="6"/>
      <c r="E1398" s="19"/>
      <c r="F1398" s="19"/>
      <c r="G1398" s="9"/>
    </row>
    <row r="1399" ht="22.5" customHeight="1">
      <c r="A1399" s="4"/>
      <c r="D1399" s="6"/>
      <c r="E1399" s="19"/>
      <c r="F1399" s="19"/>
      <c r="G1399" s="9"/>
    </row>
    <row r="1400" ht="22.5" customHeight="1">
      <c r="A1400" s="4"/>
      <c r="D1400" s="6"/>
      <c r="E1400" s="19"/>
      <c r="F1400" s="19"/>
      <c r="G1400" s="9"/>
    </row>
    <row r="1401" ht="22.5" customHeight="1">
      <c r="A1401" s="4"/>
      <c r="D1401" s="6"/>
      <c r="E1401" s="19"/>
      <c r="F1401" s="19"/>
      <c r="G1401" s="9"/>
    </row>
    <row r="1402" ht="22.5" customHeight="1">
      <c r="A1402" s="4"/>
      <c r="D1402" s="6"/>
      <c r="E1402" s="19"/>
      <c r="F1402" s="19"/>
      <c r="G1402" s="9"/>
    </row>
    <row r="1403" ht="22.5" customHeight="1">
      <c r="A1403" s="4"/>
      <c r="D1403" s="6"/>
      <c r="E1403" s="19"/>
      <c r="F1403" s="19"/>
      <c r="G1403" s="9"/>
    </row>
    <row r="1404" ht="22.5" customHeight="1">
      <c r="A1404" s="4"/>
      <c r="D1404" s="6"/>
      <c r="E1404" s="19"/>
      <c r="F1404" s="19"/>
      <c r="G1404" s="9"/>
    </row>
    <row r="1405" ht="22.5" customHeight="1">
      <c r="A1405" s="4"/>
      <c r="D1405" s="6"/>
      <c r="E1405" s="19"/>
      <c r="F1405" s="19"/>
      <c r="G1405" s="9"/>
    </row>
    <row r="1406" ht="22.5" customHeight="1">
      <c r="A1406" s="4"/>
      <c r="D1406" s="6"/>
      <c r="E1406" s="19"/>
      <c r="F1406" s="19"/>
      <c r="G1406" s="9"/>
    </row>
    <row r="1407" ht="22.5" customHeight="1">
      <c r="A1407" s="4"/>
      <c r="D1407" s="6"/>
      <c r="E1407" s="19"/>
      <c r="F1407" s="19"/>
      <c r="G1407" s="9"/>
    </row>
    <row r="1408" ht="22.5" customHeight="1">
      <c r="A1408" s="4"/>
      <c r="D1408" s="6"/>
      <c r="E1408" s="19"/>
      <c r="F1408" s="19"/>
      <c r="G1408" s="9"/>
    </row>
    <row r="1409" ht="22.5" customHeight="1">
      <c r="A1409" s="4"/>
      <c r="D1409" s="6"/>
      <c r="E1409" s="19"/>
      <c r="F1409" s="19"/>
      <c r="G1409" s="9"/>
    </row>
    <row r="1410" ht="22.5" customHeight="1">
      <c r="A1410" s="4"/>
      <c r="D1410" s="6"/>
      <c r="E1410" s="19"/>
      <c r="F1410" s="19"/>
      <c r="G1410" s="9"/>
    </row>
    <row r="1411" ht="22.5" customHeight="1">
      <c r="A1411" s="4"/>
      <c r="D1411" s="6"/>
      <c r="E1411" s="19"/>
      <c r="F1411" s="19"/>
      <c r="G1411" s="9"/>
    </row>
    <row r="1412" ht="22.5" customHeight="1">
      <c r="A1412" s="4"/>
      <c r="D1412" s="6"/>
      <c r="E1412" s="19"/>
      <c r="F1412" s="19"/>
      <c r="G1412" s="9"/>
    </row>
    <row r="1413" ht="22.5" customHeight="1">
      <c r="A1413" s="4"/>
      <c r="D1413" s="6"/>
      <c r="E1413" s="19"/>
      <c r="F1413" s="19"/>
      <c r="G1413" s="9"/>
    </row>
    <row r="1414" ht="22.5" customHeight="1">
      <c r="A1414" s="4"/>
      <c r="D1414" s="6"/>
      <c r="E1414" s="19"/>
      <c r="F1414" s="19"/>
      <c r="G1414" s="9"/>
    </row>
    <row r="1415" ht="22.5" customHeight="1">
      <c r="A1415" s="4"/>
      <c r="D1415" s="6"/>
      <c r="E1415" s="19"/>
      <c r="F1415" s="19"/>
      <c r="G1415" s="9"/>
    </row>
    <row r="1416" ht="22.5" customHeight="1">
      <c r="A1416" s="4"/>
      <c r="D1416" s="6"/>
      <c r="E1416" s="19"/>
      <c r="F1416" s="19"/>
      <c r="G1416" s="9"/>
    </row>
    <row r="1417" ht="22.5" customHeight="1">
      <c r="A1417" s="4"/>
      <c r="D1417" s="6"/>
      <c r="E1417" s="19"/>
      <c r="F1417" s="19"/>
      <c r="G1417" s="9"/>
    </row>
    <row r="1418" ht="22.5" customHeight="1">
      <c r="A1418" s="4"/>
      <c r="D1418" s="6"/>
      <c r="E1418" s="19"/>
      <c r="F1418" s="19"/>
      <c r="G1418" s="9"/>
    </row>
    <row r="1419" ht="22.5" customHeight="1">
      <c r="A1419" s="4"/>
      <c r="D1419" s="6"/>
      <c r="E1419" s="19"/>
      <c r="F1419" s="19"/>
      <c r="G1419" s="9"/>
    </row>
    <row r="1420" ht="22.5" customHeight="1">
      <c r="A1420" s="4"/>
      <c r="D1420" s="6"/>
      <c r="E1420" s="19"/>
      <c r="F1420" s="19"/>
      <c r="G1420" s="9"/>
    </row>
    <row r="1421" ht="22.5" customHeight="1">
      <c r="A1421" s="4"/>
      <c r="D1421" s="6"/>
      <c r="E1421" s="19"/>
      <c r="F1421" s="19"/>
      <c r="G1421" s="9"/>
    </row>
    <row r="1422" ht="22.5" customHeight="1">
      <c r="A1422" s="4"/>
      <c r="D1422" s="6"/>
      <c r="E1422" s="19"/>
      <c r="F1422" s="19"/>
      <c r="G1422" s="9"/>
    </row>
    <row r="1423" ht="22.5" customHeight="1">
      <c r="A1423" s="4"/>
      <c r="D1423" s="6"/>
      <c r="E1423" s="19"/>
      <c r="F1423" s="19"/>
      <c r="G1423" s="9"/>
    </row>
    <row r="1424" ht="22.5" customHeight="1">
      <c r="A1424" s="4"/>
      <c r="D1424" s="6"/>
      <c r="E1424" s="19"/>
      <c r="F1424" s="19"/>
      <c r="G1424" s="9"/>
    </row>
    <row r="1425" ht="22.5" customHeight="1">
      <c r="A1425" s="4"/>
      <c r="D1425" s="6"/>
      <c r="E1425" s="19"/>
      <c r="F1425" s="19"/>
      <c r="G1425" s="9"/>
    </row>
    <row r="1426" ht="22.5" customHeight="1">
      <c r="A1426" s="4"/>
      <c r="D1426" s="6"/>
      <c r="E1426" s="19"/>
      <c r="F1426" s="19"/>
      <c r="G1426" s="9"/>
    </row>
    <row r="1427" ht="22.5" customHeight="1">
      <c r="A1427" s="4"/>
      <c r="D1427" s="6"/>
      <c r="E1427" s="19"/>
      <c r="F1427" s="19"/>
      <c r="G1427" s="9"/>
    </row>
    <row r="1428" ht="22.5" customHeight="1">
      <c r="A1428" s="4"/>
      <c r="D1428" s="6"/>
      <c r="E1428" s="19"/>
      <c r="F1428" s="19"/>
      <c r="G1428" s="9"/>
    </row>
    <row r="1429" ht="22.5" customHeight="1">
      <c r="A1429" s="4"/>
      <c r="D1429" s="6"/>
      <c r="E1429" s="19"/>
      <c r="F1429" s="19"/>
      <c r="G1429" s="9"/>
    </row>
    <row r="1430" ht="22.5" customHeight="1">
      <c r="A1430" s="4"/>
      <c r="D1430" s="6"/>
      <c r="E1430" s="19"/>
      <c r="F1430" s="19"/>
      <c r="G1430" s="9"/>
    </row>
    <row r="1431" ht="22.5" customHeight="1">
      <c r="A1431" s="4"/>
      <c r="D1431" s="6"/>
      <c r="E1431" s="19"/>
      <c r="F1431" s="19"/>
      <c r="G1431" s="9"/>
    </row>
    <row r="1432" ht="22.5" customHeight="1">
      <c r="A1432" s="4"/>
      <c r="D1432" s="6"/>
      <c r="E1432" s="19"/>
      <c r="F1432" s="19"/>
      <c r="G1432" s="9"/>
    </row>
    <row r="1433" ht="22.5" customHeight="1">
      <c r="A1433" s="4"/>
      <c r="D1433" s="6"/>
      <c r="E1433" s="19"/>
      <c r="F1433" s="19"/>
      <c r="G1433" s="9"/>
    </row>
    <row r="1434" ht="22.5" customHeight="1">
      <c r="A1434" s="4"/>
      <c r="D1434" s="6"/>
      <c r="E1434" s="19"/>
      <c r="F1434" s="19"/>
      <c r="G1434" s="9"/>
    </row>
    <row r="1435" ht="22.5" customHeight="1">
      <c r="A1435" s="4"/>
      <c r="D1435" s="6"/>
      <c r="E1435" s="19"/>
      <c r="F1435" s="19"/>
      <c r="G1435" s="9"/>
    </row>
    <row r="1436" ht="22.5" customHeight="1">
      <c r="A1436" s="4"/>
      <c r="D1436" s="6"/>
      <c r="E1436" s="19"/>
      <c r="F1436" s="19"/>
      <c r="G1436" s="9"/>
    </row>
    <row r="1437" ht="22.5" customHeight="1">
      <c r="A1437" s="4"/>
      <c r="D1437" s="6"/>
      <c r="E1437" s="19"/>
      <c r="F1437" s="19"/>
      <c r="G1437" s="9"/>
    </row>
    <row r="1438" ht="22.5" customHeight="1">
      <c r="A1438" s="4"/>
      <c r="D1438" s="6"/>
      <c r="E1438" s="19"/>
      <c r="F1438" s="19"/>
      <c r="G1438" s="9"/>
    </row>
    <row r="1439" ht="22.5" customHeight="1">
      <c r="A1439" s="4"/>
      <c r="D1439" s="6"/>
      <c r="E1439" s="19"/>
      <c r="F1439" s="19"/>
      <c r="G1439" s="9"/>
    </row>
    <row r="1440" ht="22.5" customHeight="1">
      <c r="A1440" s="4"/>
      <c r="D1440" s="6"/>
      <c r="E1440" s="19"/>
      <c r="F1440" s="19"/>
      <c r="G1440" s="9"/>
    </row>
    <row r="1441" ht="22.5" customHeight="1">
      <c r="A1441" s="4"/>
      <c r="D1441" s="6"/>
      <c r="E1441" s="19"/>
      <c r="F1441" s="19"/>
      <c r="G1441" s="9"/>
    </row>
    <row r="1442" ht="22.5" customHeight="1">
      <c r="A1442" s="4"/>
      <c r="D1442" s="6"/>
      <c r="E1442" s="19"/>
      <c r="F1442" s="19"/>
      <c r="G1442" s="9"/>
    </row>
    <row r="1443" ht="22.5" customHeight="1">
      <c r="A1443" s="4"/>
      <c r="D1443" s="6"/>
      <c r="E1443" s="19"/>
      <c r="F1443" s="19"/>
      <c r="G1443" s="9"/>
    </row>
    <row r="1444" ht="22.5" customHeight="1">
      <c r="A1444" s="4"/>
      <c r="D1444" s="6"/>
      <c r="E1444" s="19"/>
      <c r="F1444" s="19"/>
      <c r="G1444" s="9"/>
    </row>
    <row r="1445" ht="22.5" customHeight="1">
      <c r="A1445" s="4"/>
      <c r="D1445" s="6"/>
      <c r="E1445" s="19"/>
      <c r="F1445" s="19"/>
      <c r="G1445" s="9"/>
    </row>
    <row r="1446" ht="22.5" customHeight="1">
      <c r="A1446" s="4"/>
      <c r="D1446" s="6"/>
      <c r="E1446" s="19"/>
      <c r="F1446" s="19"/>
      <c r="G1446" s="9"/>
    </row>
    <row r="1447" ht="22.5" customHeight="1">
      <c r="A1447" s="4"/>
      <c r="D1447" s="6"/>
      <c r="E1447" s="19"/>
      <c r="F1447" s="19"/>
      <c r="G1447" s="9"/>
    </row>
    <row r="1448" ht="22.5" customHeight="1">
      <c r="A1448" s="4"/>
      <c r="D1448" s="6"/>
      <c r="E1448" s="19"/>
      <c r="F1448" s="19"/>
      <c r="G1448" s="9"/>
    </row>
    <row r="1449" ht="22.5" customHeight="1">
      <c r="A1449" s="4"/>
      <c r="D1449" s="6"/>
      <c r="E1449" s="19"/>
      <c r="F1449" s="19"/>
      <c r="G1449" s="9"/>
    </row>
    <row r="1450" ht="22.5" customHeight="1">
      <c r="A1450" s="4"/>
      <c r="D1450" s="6"/>
      <c r="E1450" s="19"/>
      <c r="F1450" s="19"/>
      <c r="G1450" s="9"/>
    </row>
    <row r="1451" ht="22.5" customHeight="1">
      <c r="A1451" s="4"/>
      <c r="D1451" s="6"/>
      <c r="E1451" s="19"/>
      <c r="F1451" s="19"/>
      <c r="G1451" s="9"/>
    </row>
    <row r="1452" ht="22.5" customHeight="1">
      <c r="A1452" s="4"/>
      <c r="D1452" s="6"/>
      <c r="E1452" s="19"/>
      <c r="F1452" s="19"/>
      <c r="G1452" s="9"/>
    </row>
    <row r="1453" ht="22.5" customHeight="1">
      <c r="A1453" s="4"/>
      <c r="D1453" s="6"/>
      <c r="E1453" s="19"/>
      <c r="F1453" s="19"/>
      <c r="G1453" s="9"/>
    </row>
    <row r="1454" ht="22.5" customHeight="1">
      <c r="A1454" s="4"/>
      <c r="D1454" s="6"/>
      <c r="E1454" s="19"/>
      <c r="F1454" s="19"/>
      <c r="G1454" s="9"/>
    </row>
    <row r="1455" ht="22.5" customHeight="1">
      <c r="A1455" s="4"/>
      <c r="D1455" s="6"/>
      <c r="E1455" s="19"/>
      <c r="F1455" s="19"/>
      <c r="G1455" s="9"/>
    </row>
    <row r="1456" ht="22.5" customHeight="1">
      <c r="A1456" s="4"/>
      <c r="D1456" s="6"/>
      <c r="E1456" s="19"/>
      <c r="F1456" s="19"/>
      <c r="G1456" s="9"/>
    </row>
    <row r="1457" ht="22.5" customHeight="1">
      <c r="A1457" s="4"/>
      <c r="D1457" s="6"/>
      <c r="E1457" s="19"/>
      <c r="F1457" s="19"/>
      <c r="G1457" s="9"/>
    </row>
    <row r="1458" ht="22.5" customHeight="1">
      <c r="A1458" s="4"/>
      <c r="D1458" s="6"/>
      <c r="E1458" s="19"/>
      <c r="F1458" s="19"/>
      <c r="G1458" s="9"/>
    </row>
    <row r="1459" ht="22.5" customHeight="1">
      <c r="A1459" s="4"/>
      <c r="D1459" s="6"/>
      <c r="E1459" s="19"/>
      <c r="F1459" s="19"/>
      <c r="G1459" s="9"/>
    </row>
    <row r="1460" ht="22.5" customHeight="1">
      <c r="A1460" s="4"/>
      <c r="D1460" s="6"/>
      <c r="E1460" s="19"/>
      <c r="F1460" s="19"/>
      <c r="G1460" s="9"/>
    </row>
    <row r="1461" ht="22.5" customHeight="1">
      <c r="A1461" s="4"/>
      <c r="D1461" s="6"/>
      <c r="E1461" s="19"/>
      <c r="F1461" s="19"/>
      <c r="G1461" s="9"/>
    </row>
    <row r="1462" ht="22.5" customHeight="1">
      <c r="A1462" s="4"/>
      <c r="D1462" s="6"/>
      <c r="E1462" s="19"/>
      <c r="F1462" s="19"/>
      <c r="G1462" s="9"/>
    </row>
    <row r="1463" ht="22.5" customHeight="1">
      <c r="A1463" s="4"/>
      <c r="D1463" s="6"/>
      <c r="E1463" s="19"/>
      <c r="F1463" s="19"/>
      <c r="G1463" s="9"/>
    </row>
    <row r="1464" ht="22.5" customHeight="1">
      <c r="A1464" s="4"/>
      <c r="D1464" s="6"/>
      <c r="E1464" s="19"/>
      <c r="F1464" s="19"/>
      <c r="G1464" s="9"/>
    </row>
    <row r="1465" ht="22.5" customHeight="1">
      <c r="A1465" s="4"/>
      <c r="D1465" s="6"/>
      <c r="E1465" s="19"/>
      <c r="F1465" s="19"/>
      <c r="G1465" s="9"/>
    </row>
    <row r="1466" ht="22.5" customHeight="1">
      <c r="A1466" s="4"/>
      <c r="D1466" s="6"/>
      <c r="E1466" s="19"/>
      <c r="F1466" s="19"/>
      <c r="G1466" s="9"/>
    </row>
    <row r="1467" ht="22.5" customHeight="1">
      <c r="A1467" s="4"/>
      <c r="D1467" s="6"/>
      <c r="E1467" s="19"/>
      <c r="F1467" s="19"/>
      <c r="G1467" s="9"/>
    </row>
    <row r="1468" ht="22.5" customHeight="1">
      <c r="A1468" s="4"/>
      <c r="D1468" s="6"/>
      <c r="E1468" s="19"/>
      <c r="F1468" s="19"/>
      <c r="G1468" s="9"/>
    </row>
    <row r="1469" ht="22.5" customHeight="1">
      <c r="A1469" s="4"/>
      <c r="D1469" s="6"/>
      <c r="E1469" s="19"/>
      <c r="F1469" s="19"/>
      <c r="G1469" s="9"/>
    </row>
    <row r="1470" ht="22.5" customHeight="1">
      <c r="A1470" s="4"/>
      <c r="D1470" s="6"/>
      <c r="E1470" s="19"/>
      <c r="F1470" s="19"/>
      <c r="G1470" s="9"/>
    </row>
    <row r="1471" ht="22.5" customHeight="1">
      <c r="A1471" s="4"/>
      <c r="D1471" s="6"/>
      <c r="E1471" s="19"/>
      <c r="F1471" s="19"/>
      <c r="G1471" s="9"/>
    </row>
    <row r="1472" ht="22.5" customHeight="1">
      <c r="A1472" s="4"/>
      <c r="D1472" s="6"/>
      <c r="E1472" s="19"/>
      <c r="F1472" s="19"/>
      <c r="G1472" s="9"/>
    </row>
    <row r="1473" ht="22.5" customHeight="1">
      <c r="A1473" s="4"/>
      <c r="D1473" s="6"/>
      <c r="E1473" s="19"/>
      <c r="F1473" s="19"/>
      <c r="G1473" s="9"/>
    </row>
    <row r="1474" ht="22.5" customHeight="1">
      <c r="A1474" s="4"/>
      <c r="D1474" s="6"/>
      <c r="E1474" s="19"/>
      <c r="F1474" s="19"/>
      <c r="G1474" s="9"/>
    </row>
    <row r="1475" ht="22.5" customHeight="1">
      <c r="A1475" s="4"/>
      <c r="D1475" s="6"/>
      <c r="E1475" s="19"/>
      <c r="F1475" s="19"/>
      <c r="G1475" s="9"/>
    </row>
    <row r="1476" ht="22.5" customHeight="1">
      <c r="A1476" s="4"/>
      <c r="D1476" s="6"/>
      <c r="E1476" s="19"/>
      <c r="F1476" s="19"/>
      <c r="G1476" s="9"/>
    </row>
    <row r="1477" ht="22.5" customHeight="1">
      <c r="A1477" s="4"/>
      <c r="D1477" s="6"/>
      <c r="E1477" s="19"/>
      <c r="F1477" s="19"/>
      <c r="G1477" s="9"/>
    </row>
    <row r="1478" ht="22.5" customHeight="1">
      <c r="A1478" s="4"/>
      <c r="D1478" s="6"/>
      <c r="E1478" s="19"/>
      <c r="F1478" s="19"/>
      <c r="G1478" s="9"/>
    </row>
    <row r="1479" ht="22.5" customHeight="1">
      <c r="A1479" s="4"/>
      <c r="D1479" s="6"/>
      <c r="E1479" s="19"/>
      <c r="F1479" s="19"/>
      <c r="G1479" s="9"/>
    </row>
    <row r="1480" ht="22.5" customHeight="1">
      <c r="A1480" s="4"/>
      <c r="D1480" s="6"/>
      <c r="E1480" s="19"/>
      <c r="F1480" s="19"/>
      <c r="G1480" s="9"/>
    </row>
    <row r="1481" ht="22.5" customHeight="1">
      <c r="A1481" s="4"/>
      <c r="D1481" s="6"/>
      <c r="E1481" s="19"/>
      <c r="F1481" s="19"/>
      <c r="G1481" s="9"/>
    </row>
    <row r="1482" ht="22.5" customHeight="1">
      <c r="A1482" s="4"/>
      <c r="D1482" s="6"/>
      <c r="E1482" s="19"/>
      <c r="F1482" s="19"/>
      <c r="G1482" s="9"/>
    </row>
    <row r="1483" ht="22.5" customHeight="1">
      <c r="A1483" s="4"/>
      <c r="D1483" s="6"/>
      <c r="E1483" s="19"/>
      <c r="F1483" s="19"/>
      <c r="G1483" s="9"/>
    </row>
    <row r="1484" ht="22.5" customHeight="1">
      <c r="A1484" s="4"/>
      <c r="D1484" s="6"/>
      <c r="E1484" s="19"/>
      <c r="F1484" s="19"/>
      <c r="G1484" s="9"/>
    </row>
    <row r="1485" ht="22.5" customHeight="1">
      <c r="A1485" s="4"/>
      <c r="D1485" s="6"/>
      <c r="E1485" s="19"/>
      <c r="F1485" s="19"/>
      <c r="G1485" s="9"/>
    </row>
    <row r="1486" ht="22.5" customHeight="1">
      <c r="A1486" s="4"/>
      <c r="D1486" s="6"/>
      <c r="E1486" s="19"/>
      <c r="F1486" s="19"/>
      <c r="G1486" s="9"/>
    </row>
    <row r="1487" ht="22.5" customHeight="1">
      <c r="A1487" s="4"/>
      <c r="D1487" s="6"/>
      <c r="E1487" s="19"/>
      <c r="F1487" s="19"/>
      <c r="G1487" s="9"/>
    </row>
    <row r="1488" ht="22.5" customHeight="1">
      <c r="A1488" s="4"/>
      <c r="D1488" s="6"/>
      <c r="E1488" s="19"/>
      <c r="F1488" s="19"/>
      <c r="G1488" s="9"/>
    </row>
    <row r="1489" ht="22.5" customHeight="1">
      <c r="A1489" s="4"/>
      <c r="D1489" s="6"/>
      <c r="E1489" s="19"/>
      <c r="F1489" s="19"/>
      <c r="G1489" s="9"/>
    </row>
    <row r="1490" ht="22.5" customHeight="1">
      <c r="A1490" s="4"/>
      <c r="D1490" s="6"/>
      <c r="E1490" s="19"/>
      <c r="F1490" s="19"/>
      <c r="G1490" s="9"/>
    </row>
    <row r="1491" ht="22.5" customHeight="1">
      <c r="A1491" s="4"/>
      <c r="D1491" s="6"/>
      <c r="E1491" s="19"/>
      <c r="F1491" s="19"/>
      <c r="G1491" s="9"/>
    </row>
    <row r="1492" ht="22.5" customHeight="1">
      <c r="A1492" s="4"/>
      <c r="D1492" s="6"/>
      <c r="E1492" s="19"/>
      <c r="F1492" s="19"/>
      <c r="G1492" s="9"/>
    </row>
    <row r="1493" ht="22.5" customHeight="1">
      <c r="A1493" s="4"/>
      <c r="D1493" s="6"/>
      <c r="E1493" s="19"/>
      <c r="F1493" s="19"/>
      <c r="G1493" s="9"/>
    </row>
    <row r="1494" ht="22.5" customHeight="1">
      <c r="A1494" s="4"/>
      <c r="D1494" s="6"/>
      <c r="E1494" s="19"/>
      <c r="F1494" s="19"/>
      <c r="G1494" s="9"/>
    </row>
    <row r="1495" ht="22.5" customHeight="1">
      <c r="A1495" s="4"/>
      <c r="D1495" s="6"/>
      <c r="E1495" s="19"/>
      <c r="F1495" s="19"/>
      <c r="G1495" s="9"/>
    </row>
    <row r="1496" ht="22.5" customHeight="1">
      <c r="A1496" s="4"/>
      <c r="D1496" s="6"/>
      <c r="E1496" s="19"/>
      <c r="F1496" s="19"/>
      <c r="G1496" s="9"/>
    </row>
    <row r="1497" ht="22.5" customHeight="1">
      <c r="A1497" s="4"/>
      <c r="D1497" s="6"/>
      <c r="E1497" s="19"/>
      <c r="F1497" s="19"/>
      <c r="G1497" s="9"/>
    </row>
    <row r="1498" ht="22.5" customHeight="1">
      <c r="A1498" s="4"/>
      <c r="D1498" s="6"/>
      <c r="E1498" s="19"/>
      <c r="F1498" s="19"/>
      <c r="G1498" s="9"/>
    </row>
    <row r="1499" ht="22.5" customHeight="1">
      <c r="A1499" s="4"/>
      <c r="D1499" s="6"/>
      <c r="E1499" s="19"/>
      <c r="F1499" s="19"/>
      <c r="G1499" s="9"/>
    </row>
    <row r="1500" ht="22.5" customHeight="1">
      <c r="A1500" s="4"/>
      <c r="D1500" s="6"/>
      <c r="E1500" s="19"/>
      <c r="F1500" s="19"/>
      <c r="G1500" s="9"/>
    </row>
    <row r="1501" ht="22.5" customHeight="1">
      <c r="A1501" s="4"/>
      <c r="D1501" s="6"/>
      <c r="E1501" s="19"/>
      <c r="F1501" s="19"/>
      <c r="G1501" s="9"/>
    </row>
    <row r="1502" ht="22.5" customHeight="1">
      <c r="A1502" s="4"/>
      <c r="D1502" s="6"/>
      <c r="E1502" s="19"/>
      <c r="F1502" s="19"/>
      <c r="G1502" s="9"/>
    </row>
    <row r="1503" ht="22.5" customHeight="1">
      <c r="A1503" s="4"/>
      <c r="D1503" s="6"/>
      <c r="E1503" s="19"/>
      <c r="F1503" s="19"/>
      <c r="G1503" s="9"/>
    </row>
    <row r="1504" ht="22.5" customHeight="1">
      <c r="A1504" s="4"/>
      <c r="D1504" s="6"/>
      <c r="E1504" s="19"/>
      <c r="F1504" s="19"/>
      <c r="G1504" s="9"/>
    </row>
    <row r="1505" ht="22.5" customHeight="1">
      <c r="A1505" s="4"/>
      <c r="D1505" s="6"/>
      <c r="E1505" s="19"/>
      <c r="F1505" s="19"/>
      <c r="G1505" s="9"/>
    </row>
    <row r="1506" ht="22.5" customHeight="1">
      <c r="A1506" s="4"/>
      <c r="D1506" s="6"/>
      <c r="E1506" s="19"/>
      <c r="F1506" s="19"/>
      <c r="G1506" s="9"/>
    </row>
    <row r="1507" ht="22.5" customHeight="1">
      <c r="A1507" s="4"/>
      <c r="D1507" s="6"/>
      <c r="E1507" s="19"/>
      <c r="F1507" s="19"/>
      <c r="G1507" s="9"/>
    </row>
    <row r="1508" ht="22.5" customHeight="1">
      <c r="A1508" s="4"/>
      <c r="D1508" s="6"/>
      <c r="E1508" s="19"/>
      <c r="F1508" s="19"/>
      <c r="G1508" s="9"/>
    </row>
    <row r="1509" ht="22.5" customHeight="1">
      <c r="A1509" s="4"/>
      <c r="D1509" s="6"/>
      <c r="E1509" s="19"/>
      <c r="F1509" s="19"/>
      <c r="G1509" s="9"/>
    </row>
    <row r="1510" ht="22.5" customHeight="1">
      <c r="A1510" s="4"/>
      <c r="D1510" s="6"/>
      <c r="E1510" s="19"/>
      <c r="F1510" s="19"/>
      <c r="G1510" s="9"/>
    </row>
    <row r="1511" ht="22.5" customHeight="1">
      <c r="A1511" s="4"/>
      <c r="D1511" s="6"/>
      <c r="E1511" s="19"/>
      <c r="F1511" s="19"/>
      <c r="G1511" s="9"/>
    </row>
    <row r="1512" ht="22.5" customHeight="1">
      <c r="A1512" s="4"/>
      <c r="D1512" s="6"/>
      <c r="E1512" s="19"/>
      <c r="F1512" s="19"/>
      <c r="G1512" s="9"/>
    </row>
    <row r="1513" ht="22.5" customHeight="1">
      <c r="A1513" s="4"/>
      <c r="D1513" s="6"/>
      <c r="E1513" s="19"/>
      <c r="F1513" s="19"/>
      <c r="G1513" s="9"/>
    </row>
    <row r="1514" ht="22.5" customHeight="1">
      <c r="A1514" s="4"/>
      <c r="D1514" s="6"/>
      <c r="E1514" s="19"/>
      <c r="F1514" s="19"/>
      <c r="G1514" s="9"/>
    </row>
    <row r="1515" ht="22.5" customHeight="1">
      <c r="A1515" s="4"/>
      <c r="D1515" s="6"/>
      <c r="E1515" s="19"/>
      <c r="F1515" s="19"/>
      <c r="G1515" s="9"/>
    </row>
    <row r="1516" ht="22.5" customHeight="1">
      <c r="A1516" s="4"/>
      <c r="D1516" s="6"/>
      <c r="E1516" s="19"/>
      <c r="F1516" s="19"/>
      <c r="G1516" s="9"/>
    </row>
    <row r="1517" ht="22.5" customHeight="1">
      <c r="A1517" s="4"/>
      <c r="D1517" s="6"/>
      <c r="E1517" s="19"/>
      <c r="F1517" s="19"/>
      <c r="G1517" s="9"/>
    </row>
    <row r="1518" ht="22.5" customHeight="1">
      <c r="A1518" s="4"/>
      <c r="D1518" s="6"/>
      <c r="E1518" s="19"/>
      <c r="F1518" s="19"/>
      <c r="G1518" s="9"/>
    </row>
    <row r="1519" ht="22.5" customHeight="1">
      <c r="A1519" s="4"/>
      <c r="D1519" s="6"/>
      <c r="E1519" s="19"/>
      <c r="F1519" s="19"/>
      <c r="G1519" s="9"/>
    </row>
    <row r="1520" ht="22.5" customHeight="1">
      <c r="A1520" s="4"/>
      <c r="D1520" s="6"/>
      <c r="E1520" s="19"/>
      <c r="F1520" s="19"/>
      <c r="G1520" s="9"/>
    </row>
    <row r="1521" ht="22.5" customHeight="1">
      <c r="A1521" s="4"/>
      <c r="D1521" s="6"/>
      <c r="E1521" s="19"/>
      <c r="F1521" s="19"/>
      <c r="G1521" s="9"/>
    </row>
    <row r="1522" ht="22.5" customHeight="1">
      <c r="A1522" s="4"/>
      <c r="D1522" s="6"/>
      <c r="E1522" s="19"/>
      <c r="F1522" s="19"/>
      <c r="G1522" s="9"/>
    </row>
    <row r="1523" ht="22.5" customHeight="1">
      <c r="A1523" s="4"/>
      <c r="D1523" s="6"/>
      <c r="E1523" s="19"/>
      <c r="F1523" s="19"/>
      <c r="G1523" s="9"/>
    </row>
    <row r="1524" ht="22.5" customHeight="1">
      <c r="A1524" s="4"/>
      <c r="D1524" s="6"/>
      <c r="E1524" s="19"/>
      <c r="F1524" s="19"/>
      <c r="G1524" s="9"/>
    </row>
    <row r="1525" ht="22.5" customHeight="1">
      <c r="A1525" s="4"/>
      <c r="D1525" s="6"/>
      <c r="E1525" s="19"/>
      <c r="F1525" s="19"/>
      <c r="G1525" s="9"/>
    </row>
    <row r="1526" ht="22.5" customHeight="1">
      <c r="A1526" s="4"/>
      <c r="D1526" s="6"/>
      <c r="E1526" s="19"/>
      <c r="F1526" s="19"/>
      <c r="G1526" s="9"/>
    </row>
    <row r="1527" ht="22.5" customHeight="1">
      <c r="A1527" s="4"/>
      <c r="D1527" s="6"/>
      <c r="E1527" s="19"/>
      <c r="F1527" s="19"/>
      <c r="G1527" s="9"/>
    </row>
    <row r="1528" ht="22.5" customHeight="1">
      <c r="A1528" s="4"/>
      <c r="D1528" s="6"/>
      <c r="E1528" s="19"/>
      <c r="F1528" s="19"/>
      <c r="G1528" s="9"/>
    </row>
    <row r="1529" ht="22.5" customHeight="1">
      <c r="A1529" s="4"/>
      <c r="D1529" s="6"/>
      <c r="E1529" s="19"/>
      <c r="F1529" s="19"/>
      <c r="G1529" s="9"/>
    </row>
    <row r="1530" ht="22.5" customHeight="1">
      <c r="A1530" s="4"/>
      <c r="D1530" s="6"/>
      <c r="E1530" s="19"/>
      <c r="F1530" s="19"/>
      <c r="G1530" s="9"/>
    </row>
    <row r="1531" ht="22.5" customHeight="1">
      <c r="A1531" s="4"/>
      <c r="D1531" s="6"/>
      <c r="E1531" s="19"/>
      <c r="F1531" s="19"/>
      <c r="G1531" s="9"/>
    </row>
    <row r="1532" ht="22.5" customHeight="1">
      <c r="A1532" s="4"/>
      <c r="D1532" s="6"/>
      <c r="E1532" s="19"/>
      <c r="F1532" s="19"/>
      <c r="G1532" s="9"/>
    </row>
    <row r="1533" ht="22.5" customHeight="1">
      <c r="A1533" s="4"/>
      <c r="D1533" s="6"/>
      <c r="E1533" s="19"/>
      <c r="F1533" s="19"/>
      <c r="G1533" s="9"/>
    </row>
    <row r="1534" ht="22.5" customHeight="1">
      <c r="A1534" s="4"/>
      <c r="D1534" s="6"/>
      <c r="E1534" s="19"/>
      <c r="F1534" s="19"/>
      <c r="G1534" s="9"/>
    </row>
    <row r="1535" ht="22.5" customHeight="1">
      <c r="A1535" s="4"/>
      <c r="D1535" s="6"/>
      <c r="E1535" s="19"/>
      <c r="F1535" s="19"/>
      <c r="G1535" s="9"/>
    </row>
    <row r="1536" ht="22.5" customHeight="1">
      <c r="A1536" s="4"/>
      <c r="D1536" s="6"/>
      <c r="E1536" s="19"/>
      <c r="F1536" s="19"/>
      <c r="G1536" s="9"/>
    </row>
    <row r="1537" ht="22.5" customHeight="1">
      <c r="A1537" s="4"/>
      <c r="D1537" s="6"/>
      <c r="E1537" s="19"/>
      <c r="F1537" s="19"/>
      <c r="G1537" s="9"/>
    </row>
    <row r="1538" ht="22.5" customHeight="1">
      <c r="A1538" s="4"/>
      <c r="D1538" s="6"/>
      <c r="E1538" s="19"/>
      <c r="F1538" s="19"/>
      <c r="G1538" s="9"/>
    </row>
    <row r="1539" ht="22.5" customHeight="1">
      <c r="A1539" s="4"/>
      <c r="D1539" s="6"/>
      <c r="E1539" s="19"/>
      <c r="F1539" s="19"/>
      <c r="G1539" s="9"/>
    </row>
    <row r="1540" ht="22.5" customHeight="1">
      <c r="A1540" s="4"/>
      <c r="D1540" s="6"/>
      <c r="E1540" s="19"/>
      <c r="F1540" s="19"/>
      <c r="G1540" s="9"/>
    </row>
    <row r="1541" ht="22.5" customHeight="1">
      <c r="A1541" s="4"/>
      <c r="D1541" s="6"/>
      <c r="E1541" s="19"/>
      <c r="F1541" s="19"/>
      <c r="G1541" s="9"/>
    </row>
    <row r="1542" ht="22.5" customHeight="1">
      <c r="A1542" s="4"/>
      <c r="D1542" s="6"/>
      <c r="E1542" s="19"/>
      <c r="F1542" s="19"/>
      <c r="G1542" s="9"/>
    </row>
    <row r="1543" ht="22.5" customHeight="1">
      <c r="A1543" s="4"/>
      <c r="D1543" s="6"/>
      <c r="E1543" s="19"/>
      <c r="F1543" s="19"/>
      <c r="G1543" s="9"/>
    </row>
    <row r="1544" ht="22.5" customHeight="1">
      <c r="A1544" s="4"/>
      <c r="D1544" s="6"/>
      <c r="E1544" s="19"/>
      <c r="F1544" s="19"/>
      <c r="G1544" s="9"/>
    </row>
    <row r="1545" ht="22.5" customHeight="1">
      <c r="A1545" s="4"/>
      <c r="D1545" s="6"/>
      <c r="E1545" s="19"/>
      <c r="F1545" s="19"/>
      <c r="G1545" s="9"/>
    </row>
    <row r="1546" ht="22.5" customHeight="1">
      <c r="A1546" s="4"/>
      <c r="D1546" s="6"/>
      <c r="E1546" s="19"/>
      <c r="F1546" s="19"/>
      <c r="G1546" s="9"/>
    </row>
    <row r="1547" ht="22.5" customHeight="1">
      <c r="A1547" s="4"/>
      <c r="D1547" s="6"/>
      <c r="E1547" s="19"/>
      <c r="F1547" s="19"/>
      <c r="G1547" s="9"/>
    </row>
    <row r="1548" ht="22.5" customHeight="1">
      <c r="A1548" s="4"/>
      <c r="D1548" s="6"/>
      <c r="E1548" s="19"/>
      <c r="F1548" s="19"/>
      <c r="G1548" s="9"/>
    </row>
    <row r="1549" ht="22.5" customHeight="1">
      <c r="A1549" s="4"/>
      <c r="D1549" s="6"/>
      <c r="E1549" s="19"/>
      <c r="F1549" s="19"/>
      <c r="G1549" s="9"/>
    </row>
    <row r="1550" ht="22.5" customHeight="1">
      <c r="A1550" s="4"/>
      <c r="D1550" s="6"/>
      <c r="E1550" s="19"/>
      <c r="F1550" s="19"/>
      <c r="G1550" s="9"/>
    </row>
    <row r="1551" ht="22.5" customHeight="1">
      <c r="A1551" s="4"/>
      <c r="D1551" s="6"/>
      <c r="E1551" s="19"/>
      <c r="F1551" s="19"/>
      <c r="G1551" s="9"/>
    </row>
    <row r="1552" ht="22.5" customHeight="1">
      <c r="A1552" s="4"/>
      <c r="D1552" s="6"/>
      <c r="E1552" s="19"/>
      <c r="F1552" s="19"/>
      <c r="G1552" s="9"/>
    </row>
    <row r="1553" ht="22.5" customHeight="1">
      <c r="A1553" s="4"/>
      <c r="D1553" s="6"/>
      <c r="E1553" s="19"/>
      <c r="F1553" s="19"/>
      <c r="G1553" s="9"/>
    </row>
    <row r="1554" ht="22.5" customHeight="1">
      <c r="A1554" s="4"/>
      <c r="D1554" s="6"/>
      <c r="E1554" s="19"/>
      <c r="F1554" s="19"/>
      <c r="G1554" s="9"/>
    </row>
    <row r="1555" ht="22.5" customHeight="1">
      <c r="A1555" s="4"/>
      <c r="D1555" s="6"/>
      <c r="E1555" s="19"/>
      <c r="F1555" s="19"/>
      <c r="G1555" s="9"/>
    </row>
    <row r="1556" ht="22.5" customHeight="1">
      <c r="A1556" s="4"/>
      <c r="D1556" s="6"/>
      <c r="E1556" s="19"/>
      <c r="F1556" s="19"/>
      <c r="G1556" s="9"/>
    </row>
    <row r="1557" ht="22.5" customHeight="1">
      <c r="A1557" s="4"/>
      <c r="D1557" s="6"/>
      <c r="E1557" s="19"/>
      <c r="F1557" s="19"/>
      <c r="G1557" s="9"/>
    </row>
    <row r="1558" ht="22.5" customHeight="1">
      <c r="A1558" s="4"/>
      <c r="D1558" s="6"/>
      <c r="E1558" s="19"/>
      <c r="F1558" s="19"/>
      <c r="G1558" s="9"/>
    </row>
    <row r="1559" ht="22.5" customHeight="1">
      <c r="A1559" s="4"/>
      <c r="D1559" s="6"/>
      <c r="E1559" s="19"/>
      <c r="F1559" s="19"/>
      <c r="G1559" s="9"/>
    </row>
    <row r="1560" ht="22.5" customHeight="1">
      <c r="A1560" s="4"/>
      <c r="D1560" s="6"/>
      <c r="E1560" s="19"/>
      <c r="F1560" s="19"/>
      <c r="G1560" s="9"/>
    </row>
    <row r="1561" ht="22.5" customHeight="1">
      <c r="A1561" s="4"/>
      <c r="D1561" s="6"/>
      <c r="E1561" s="19"/>
      <c r="F1561" s="19"/>
      <c r="G1561" s="9"/>
    </row>
    <row r="1562" ht="22.5" customHeight="1">
      <c r="A1562" s="4"/>
      <c r="D1562" s="6"/>
      <c r="E1562" s="19"/>
      <c r="F1562" s="19"/>
      <c r="G1562" s="9"/>
    </row>
    <row r="1563" ht="22.5" customHeight="1">
      <c r="A1563" s="4"/>
      <c r="D1563" s="6"/>
      <c r="E1563" s="19"/>
      <c r="F1563" s="19"/>
      <c r="G1563" s="9"/>
    </row>
    <row r="1564" ht="22.5" customHeight="1">
      <c r="A1564" s="4"/>
      <c r="D1564" s="6"/>
      <c r="E1564" s="19"/>
      <c r="F1564" s="19"/>
      <c r="G1564" s="9"/>
    </row>
    <row r="1565" ht="22.5" customHeight="1">
      <c r="A1565" s="4"/>
      <c r="D1565" s="6"/>
      <c r="E1565" s="19"/>
      <c r="F1565" s="19"/>
      <c r="G1565" s="9"/>
    </row>
    <row r="1566" ht="22.5" customHeight="1">
      <c r="A1566" s="4"/>
      <c r="D1566" s="6"/>
      <c r="E1566" s="19"/>
      <c r="F1566" s="19"/>
      <c r="G1566" s="9"/>
    </row>
    <row r="1567" ht="22.5" customHeight="1">
      <c r="A1567" s="4"/>
      <c r="D1567" s="6"/>
      <c r="E1567" s="19"/>
      <c r="F1567" s="19"/>
      <c r="G1567" s="9"/>
    </row>
    <row r="1568" ht="22.5" customHeight="1">
      <c r="A1568" s="4"/>
      <c r="D1568" s="6"/>
      <c r="E1568" s="19"/>
      <c r="F1568" s="19"/>
      <c r="G1568" s="9"/>
    </row>
    <row r="1569" ht="22.5" customHeight="1">
      <c r="A1569" s="4"/>
      <c r="D1569" s="6"/>
      <c r="E1569" s="19"/>
      <c r="F1569" s="19"/>
      <c r="G1569" s="9"/>
    </row>
    <row r="1570" ht="22.5" customHeight="1">
      <c r="A1570" s="4"/>
      <c r="D1570" s="6"/>
      <c r="E1570" s="19"/>
      <c r="F1570" s="19"/>
      <c r="G1570" s="9"/>
    </row>
    <row r="1571" ht="22.5" customHeight="1">
      <c r="A1571" s="4"/>
      <c r="D1571" s="6"/>
      <c r="E1571" s="19"/>
      <c r="F1571" s="19"/>
      <c r="G1571" s="9"/>
    </row>
    <row r="1572" ht="22.5" customHeight="1">
      <c r="A1572" s="4"/>
      <c r="D1572" s="6"/>
      <c r="E1572" s="19"/>
      <c r="F1572" s="19"/>
      <c r="G1572" s="9"/>
    </row>
    <row r="1573" ht="22.5" customHeight="1">
      <c r="A1573" s="4"/>
      <c r="D1573" s="6"/>
      <c r="E1573" s="19"/>
      <c r="F1573" s="19"/>
      <c r="G1573" s="9"/>
    </row>
    <row r="1574" ht="22.5" customHeight="1">
      <c r="A1574" s="4"/>
      <c r="D1574" s="6"/>
      <c r="E1574" s="19"/>
      <c r="F1574" s="19"/>
      <c r="G1574" s="9"/>
    </row>
    <row r="1575" ht="22.5" customHeight="1">
      <c r="A1575" s="4"/>
      <c r="D1575" s="6"/>
      <c r="E1575" s="19"/>
      <c r="F1575" s="19"/>
      <c r="G1575" s="9"/>
    </row>
    <row r="1576" ht="22.5" customHeight="1">
      <c r="A1576" s="4"/>
      <c r="D1576" s="6"/>
      <c r="E1576" s="19"/>
      <c r="F1576" s="19"/>
      <c r="G1576" s="9"/>
    </row>
    <row r="1577" ht="22.5" customHeight="1">
      <c r="A1577" s="4"/>
      <c r="D1577" s="6"/>
      <c r="E1577" s="19"/>
      <c r="F1577" s="19"/>
      <c r="G1577" s="9"/>
    </row>
    <row r="1578" ht="22.5" customHeight="1">
      <c r="A1578" s="4"/>
      <c r="D1578" s="6"/>
      <c r="E1578" s="19"/>
      <c r="F1578" s="19"/>
      <c r="G1578" s="9"/>
    </row>
    <row r="1579" ht="22.5" customHeight="1">
      <c r="A1579" s="4"/>
      <c r="D1579" s="6"/>
      <c r="E1579" s="19"/>
      <c r="F1579" s="19"/>
      <c r="G1579" s="9"/>
    </row>
    <row r="1580" ht="22.5" customHeight="1">
      <c r="A1580" s="4"/>
      <c r="D1580" s="6"/>
      <c r="E1580" s="19"/>
      <c r="F1580" s="19"/>
      <c r="G1580" s="9"/>
    </row>
    <row r="1581" ht="22.5" customHeight="1">
      <c r="A1581" s="4"/>
      <c r="D1581" s="6"/>
      <c r="E1581" s="19"/>
      <c r="F1581" s="19"/>
      <c r="G1581" s="9"/>
    </row>
    <row r="1582" ht="22.5" customHeight="1">
      <c r="A1582" s="4"/>
      <c r="D1582" s="6"/>
      <c r="E1582" s="19"/>
      <c r="F1582" s="19"/>
      <c r="G1582" s="9"/>
    </row>
    <row r="1583" ht="22.5" customHeight="1">
      <c r="A1583" s="4"/>
      <c r="D1583" s="6"/>
      <c r="E1583" s="19"/>
      <c r="F1583" s="19"/>
      <c r="G1583" s="9"/>
    </row>
    <row r="1584" ht="22.5" customHeight="1">
      <c r="A1584" s="4"/>
      <c r="D1584" s="6"/>
      <c r="E1584" s="19"/>
      <c r="F1584" s="19"/>
      <c r="G1584" s="9"/>
    </row>
    <row r="1585" ht="22.5" customHeight="1">
      <c r="A1585" s="4"/>
      <c r="D1585" s="6"/>
      <c r="E1585" s="19"/>
      <c r="F1585" s="19"/>
      <c r="G1585" s="9"/>
    </row>
    <row r="1586" ht="22.5" customHeight="1">
      <c r="A1586" s="4"/>
      <c r="D1586" s="6"/>
      <c r="E1586" s="19"/>
      <c r="F1586" s="19"/>
      <c r="G1586" s="9"/>
    </row>
    <row r="1587" ht="22.5" customHeight="1">
      <c r="A1587" s="4"/>
      <c r="D1587" s="6"/>
      <c r="E1587" s="19"/>
      <c r="F1587" s="19"/>
      <c r="G1587" s="9"/>
    </row>
    <row r="1588" ht="22.5" customHeight="1">
      <c r="A1588" s="4"/>
      <c r="D1588" s="6"/>
      <c r="E1588" s="19"/>
      <c r="F1588" s="19"/>
      <c r="G1588" s="9"/>
    </row>
    <row r="1589" ht="22.5" customHeight="1">
      <c r="A1589" s="4"/>
      <c r="D1589" s="6"/>
      <c r="E1589" s="19"/>
      <c r="F1589" s="19"/>
      <c r="G1589" s="9"/>
    </row>
    <row r="1590" ht="22.5" customHeight="1">
      <c r="A1590" s="4"/>
      <c r="D1590" s="6"/>
      <c r="E1590" s="19"/>
      <c r="F1590" s="19"/>
      <c r="G1590" s="9"/>
    </row>
    <row r="1591" ht="22.5" customHeight="1">
      <c r="A1591" s="4"/>
      <c r="D1591" s="6"/>
      <c r="E1591" s="19"/>
      <c r="F1591" s="19"/>
      <c r="G1591" s="9"/>
    </row>
    <row r="1592" ht="22.5" customHeight="1">
      <c r="A1592" s="4"/>
      <c r="D1592" s="6"/>
      <c r="E1592" s="19"/>
      <c r="F1592" s="19"/>
      <c r="G1592" s="9"/>
    </row>
    <row r="1593" ht="22.5" customHeight="1">
      <c r="A1593" s="4"/>
      <c r="D1593" s="6"/>
      <c r="E1593" s="19"/>
      <c r="F1593" s="19"/>
      <c r="G1593" s="9"/>
    </row>
    <row r="1594" ht="22.5" customHeight="1">
      <c r="A1594" s="4"/>
      <c r="D1594" s="6"/>
      <c r="E1594" s="19"/>
      <c r="F1594" s="19"/>
      <c r="G1594" s="9"/>
    </row>
    <row r="1595" ht="22.5" customHeight="1">
      <c r="A1595" s="4"/>
      <c r="D1595" s="6"/>
      <c r="E1595" s="19"/>
      <c r="F1595" s="19"/>
      <c r="G1595" s="9"/>
    </row>
    <row r="1596" ht="22.5" customHeight="1">
      <c r="A1596" s="4"/>
      <c r="D1596" s="6"/>
      <c r="E1596" s="19"/>
      <c r="F1596" s="19"/>
      <c r="G1596" s="9"/>
    </row>
    <row r="1597" ht="22.5" customHeight="1">
      <c r="A1597" s="4"/>
      <c r="D1597" s="6"/>
      <c r="E1597" s="19"/>
      <c r="F1597" s="19"/>
      <c r="G1597" s="9"/>
    </row>
    <row r="1598" ht="22.5" customHeight="1">
      <c r="A1598" s="4"/>
      <c r="D1598" s="6"/>
      <c r="E1598" s="19"/>
      <c r="F1598" s="19"/>
      <c r="G1598" s="9"/>
    </row>
    <row r="1599" ht="22.5" customHeight="1">
      <c r="A1599" s="4"/>
      <c r="D1599" s="6"/>
      <c r="E1599" s="19"/>
      <c r="F1599" s="19"/>
      <c r="G1599" s="9"/>
    </row>
    <row r="1600" ht="22.5" customHeight="1">
      <c r="A1600" s="4"/>
      <c r="D1600" s="6"/>
      <c r="E1600" s="19"/>
      <c r="F1600" s="19"/>
      <c r="G1600" s="9"/>
    </row>
    <row r="1601" ht="22.5" customHeight="1">
      <c r="A1601" s="4"/>
      <c r="D1601" s="6"/>
      <c r="E1601" s="19"/>
      <c r="F1601" s="19"/>
      <c r="G1601" s="9"/>
    </row>
    <row r="1602" ht="22.5" customHeight="1">
      <c r="A1602" s="4"/>
      <c r="D1602" s="6"/>
      <c r="E1602" s="19"/>
      <c r="F1602" s="19"/>
      <c r="G1602" s="9"/>
    </row>
    <row r="1603" ht="22.5" customHeight="1">
      <c r="A1603" s="4"/>
      <c r="D1603" s="6"/>
      <c r="E1603" s="19"/>
      <c r="F1603" s="19"/>
      <c r="G1603" s="9"/>
    </row>
    <row r="1604" ht="22.5" customHeight="1">
      <c r="A1604" s="4"/>
      <c r="D1604" s="6"/>
      <c r="E1604" s="19"/>
      <c r="F1604" s="19"/>
      <c r="G1604" s="9"/>
    </row>
    <row r="1605" ht="22.5" customHeight="1">
      <c r="A1605" s="4"/>
      <c r="D1605" s="6"/>
      <c r="E1605" s="19"/>
      <c r="F1605" s="19"/>
      <c r="G1605" s="9"/>
    </row>
    <row r="1606" ht="22.5" customHeight="1">
      <c r="A1606" s="4"/>
      <c r="D1606" s="6"/>
      <c r="E1606" s="19"/>
      <c r="F1606" s="19"/>
      <c r="G1606" s="9"/>
    </row>
    <row r="1607" ht="22.5" customHeight="1">
      <c r="A1607" s="4"/>
      <c r="D1607" s="6"/>
      <c r="E1607" s="19"/>
      <c r="F1607" s="19"/>
      <c r="G1607" s="9"/>
    </row>
    <row r="1608" ht="22.5" customHeight="1">
      <c r="A1608" s="4"/>
      <c r="D1608" s="6"/>
      <c r="E1608" s="19"/>
      <c r="F1608" s="19"/>
      <c r="G1608" s="9"/>
    </row>
    <row r="1609" ht="22.5" customHeight="1">
      <c r="A1609" s="4"/>
      <c r="D1609" s="6"/>
      <c r="E1609" s="19"/>
      <c r="F1609" s="19"/>
      <c r="G1609" s="9"/>
    </row>
    <row r="1610" ht="22.5" customHeight="1">
      <c r="A1610" s="4"/>
      <c r="D1610" s="6"/>
      <c r="E1610" s="19"/>
      <c r="F1610" s="19"/>
      <c r="G1610" s="9"/>
    </row>
    <row r="1611" ht="22.5" customHeight="1">
      <c r="A1611" s="4"/>
      <c r="D1611" s="6"/>
      <c r="E1611" s="19"/>
      <c r="F1611" s="19"/>
      <c r="G1611" s="9"/>
    </row>
    <row r="1612" ht="22.5" customHeight="1">
      <c r="A1612" s="4"/>
      <c r="D1612" s="6"/>
      <c r="E1612" s="19"/>
      <c r="F1612" s="19"/>
      <c r="G1612" s="9"/>
    </row>
    <row r="1613" ht="22.5" customHeight="1">
      <c r="A1613" s="4"/>
      <c r="D1613" s="6"/>
      <c r="E1613" s="19"/>
      <c r="F1613" s="19"/>
      <c r="G1613" s="9"/>
    </row>
    <row r="1614" ht="22.5" customHeight="1">
      <c r="A1614" s="4"/>
      <c r="D1614" s="6"/>
      <c r="E1614" s="19"/>
      <c r="F1614" s="19"/>
      <c r="G1614" s="9"/>
    </row>
    <row r="1615" ht="22.5" customHeight="1">
      <c r="A1615" s="4"/>
      <c r="D1615" s="6"/>
      <c r="E1615" s="19"/>
      <c r="F1615" s="19"/>
      <c r="G1615" s="9"/>
    </row>
    <row r="1616" ht="22.5" customHeight="1">
      <c r="A1616" s="4"/>
      <c r="D1616" s="6"/>
      <c r="E1616" s="19"/>
      <c r="F1616" s="19"/>
      <c r="G1616" s="9"/>
    </row>
    <row r="1617" ht="22.5" customHeight="1">
      <c r="A1617" s="4"/>
      <c r="D1617" s="6"/>
      <c r="E1617" s="19"/>
      <c r="F1617" s="19"/>
      <c r="G1617" s="9"/>
    </row>
    <row r="1618" ht="22.5" customHeight="1">
      <c r="A1618" s="4"/>
      <c r="D1618" s="6"/>
      <c r="E1618" s="19"/>
      <c r="F1618" s="19"/>
      <c r="G1618" s="9"/>
    </row>
    <row r="1619" ht="22.5" customHeight="1">
      <c r="A1619" s="4"/>
      <c r="D1619" s="6"/>
      <c r="E1619" s="19"/>
      <c r="F1619" s="19"/>
      <c r="G1619" s="9"/>
    </row>
    <row r="1620" ht="22.5" customHeight="1">
      <c r="A1620" s="4"/>
      <c r="D1620" s="6"/>
      <c r="E1620" s="19"/>
      <c r="F1620" s="19"/>
      <c r="G1620" s="9"/>
    </row>
    <row r="1621" ht="22.5" customHeight="1">
      <c r="A1621" s="4"/>
      <c r="D1621" s="6"/>
      <c r="E1621" s="19"/>
      <c r="F1621" s="19"/>
      <c r="G1621" s="9"/>
    </row>
    <row r="1622" ht="22.5" customHeight="1">
      <c r="A1622" s="4"/>
      <c r="D1622" s="6"/>
      <c r="E1622" s="19"/>
      <c r="F1622" s="19"/>
      <c r="G1622" s="9"/>
    </row>
    <row r="1623" ht="22.5" customHeight="1">
      <c r="A1623" s="4"/>
      <c r="D1623" s="6"/>
      <c r="E1623" s="19"/>
      <c r="F1623" s="19"/>
      <c r="G1623" s="9"/>
    </row>
    <row r="1624" ht="22.5" customHeight="1">
      <c r="A1624" s="4"/>
      <c r="D1624" s="6"/>
      <c r="E1624" s="19"/>
      <c r="F1624" s="19"/>
      <c r="G1624" s="9"/>
    </row>
    <row r="1625" ht="22.5" customHeight="1">
      <c r="A1625" s="4"/>
      <c r="D1625" s="6"/>
      <c r="E1625" s="19"/>
      <c r="F1625" s="19"/>
      <c r="G1625" s="9"/>
    </row>
    <row r="1626" ht="22.5" customHeight="1">
      <c r="A1626" s="4"/>
      <c r="D1626" s="6"/>
      <c r="E1626" s="19"/>
      <c r="F1626" s="19"/>
      <c r="G1626" s="9"/>
    </row>
    <row r="1627" ht="22.5" customHeight="1">
      <c r="A1627" s="4"/>
      <c r="D1627" s="6"/>
      <c r="E1627" s="19"/>
      <c r="F1627" s="19"/>
      <c r="G1627" s="9"/>
    </row>
    <row r="1628" ht="22.5" customHeight="1">
      <c r="A1628" s="4"/>
      <c r="D1628" s="6"/>
      <c r="E1628" s="19"/>
      <c r="F1628" s="19"/>
      <c r="G1628" s="9"/>
    </row>
    <row r="1629" ht="22.5" customHeight="1">
      <c r="A1629" s="4"/>
      <c r="D1629" s="6"/>
      <c r="E1629" s="19"/>
      <c r="F1629" s="19"/>
      <c r="G1629" s="9"/>
    </row>
    <row r="1630" ht="22.5" customHeight="1">
      <c r="A1630" s="4"/>
      <c r="D1630" s="6"/>
      <c r="E1630" s="19"/>
      <c r="F1630" s="19"/>
      <c r="G1630" s="9"/>
    </row>
    <row r="1631" ht="22.5" customHeight="1">
      <c r="A1631" s="4"/>
      <c r="D1631" s="6"/>
      <c r="E1631" s="19"/>
      <c r="F1631" s="19"/>
      <c r="G1631" s="9"/>
    </row>
    <row r="1632" ht="22.5" customHeight="1">
      <c r="A1632" s="4"/>
      <c r="D1632" s="6"/>
      <c r="E1632" s="19"/>
      <c r="F1632" s="19"/>
      <c r="G1632" s="9"/>
    </row>
    <row r="1633" ht="22.5" customHeight="1">
      <c r="A1633" s="4"/>
      <c r="D1633" s="6"/>
      <c r="E1633" s="19"/>
      <c r="F1633" s="19"/>
      <c r="G1633" s="9"/>
    </row>
    <row r="1634" ht="22.5" customHeight="1">
      <c r="A1634" s="4"/>
      <c r="D1634" s="6"/>
      <c r="E1634" s="19"/>
      <c r="F1634" s="19"/>
      <c r="G1634" s="9"/>
    </row>
    <row r="1635" ht="22.5" customHeight="1">
      <c r="A1635" s="4"/>
      <c r="D1635" s="6"/>
      <c r="E1635" s="19"/>
      <c r="F1635" s="19"/>
      <c r="G1635" s="9"/>
    </row>
    <row r="1636" ht="22.5" customHeight="1">
      <c r="A1636" s="4"/>
      <c r="D1636" s="6"/>
      <c r="E1636" s="19"/>
      <c r="F1636" s="19"/>
      <c r="G1636" s="9"/>
    </row>
    <row r="1637" ht="22.5" customHeight="1">
      <c r="A1637" s="4"/>
      <c r="D1637" s="6"/>
      <c r="E1637" s="19"/>
      <c r="F1637" s="19"/>
      <c r="G1637" s="9"/>
    </row>
    <row r="1638" ht="22.5" customHeight="1">
      <c r="A1638" s="4"/>
      <c r="D1638" s="6"/>
      <c r="E1638" s="19"/>
      <c r="F1638" s="19"/>
      <c r="G1638" s="9"/>
    </row>
    <row r="1639" ht="22.5" customHeight="1">
      <c r="A1639" s="4"/>
      <c r="D1639" s="6"/>
      <c r="E1639" s="19"/>
      <c r="F1639" s="19"/>
      <c r="G1639" s="9"/>
    </row>
    <row r="1640" ht="22.5" customHeight="1">
      <c r="A1640" s="4"/>
      <c r="D1640" s="6"/>
      <c r="E1640" s="19"/>
      <c r="F1640" s="19"/>
      <c r="G1640" s="9"/>
    </row>
    <row r="1641" ht="22.5" customHeight="1">
      <c r="A1641" s="4"/>
      <c r="D1641" s="6"/>
      <c r="E1641" s="19"/>
      <c r="F1641" s="19"/>
      <c r="G1641" s="9"/>
    </row>
    <row r="1642" ht="22.5" customHeight="1">
      <c r="A1642" s="4"/>
      <c r="D1642" s="6"/>
      <c r="E1642" s="19"/>
      <c r="F1642" s="19"/>
      <c r="G1642" s="9"/>
    </row>
    <row r="1643" ht="22.5" customHeight="1">
      <c r="A1643" s="4"/>
      <c r="D1643" s="6"/>
      <c r="E1643" s="19"/>
      <c r="F1643" s="19"/>
      <c r="G1643" s="9"/>
    </row>
    <row r="1644" ht="22.5" customHeight="1">
      <c r="A1644" s="4"/>
      <c r="D1644" s="6"/>
      <c r="E1644" s="19"/>
      <c r="F1644" s="19"/>
      <c r="G1644" s="9"/>
    </row>
    <row r="1645" ht="22.5" customHeight="1">
      <c r="A1645" s="4"/>
      <c r="D1645" s="6"/>
      <c r="E1645" s="19"/>
      <c r="F1645" s="19"/>
      <c r="G1645" s="9"/>
    </row>
    <row r="1646" ht="22.5" customHeight="1">
      <c r="A1646" s="4"/>
      <c r="D1646" s="6"/>
      <c r="E1646" s="19"/>
      <c r="F1646" s="19"/>
      <c r="G1646" s="9"/>
    </row>
    <row r="1647" ht="22.5" customHeight="1">
      <c r="A1647" s="4"/>
      <c r="D1647" s="6"/>
      <c r="E1647" s="19"/>
      <c r="F1647" s="19"/>
      <c r="G1647" s="9"/>
    </row>
    <row r="1648" ht="22.5" customHeight="1">
      <c r="A1648" s="4"/>
      <c r="D1648" s="6"/>
      <c r="E1648" s="19"/>
      <c r="F1648" s="19"/>
      <c r="G1648" s="9"/>
    </row>
    <row r="1649" ht="22.5" customHeight="1">
      <c r="A1649" s="4"/>
      <c r="D1649" s="6"/>
      <c r="E1649" s="19"/>
      <c r="F1649" s="19"/>
      <c r="G1649" s="9"/>
    </row>
    <row r="1650" ht="22.5" customHeight="1">
      <c r="A1650" s="4"/>
      <c r="D1650" s="6"/>
      <c r="E1650" s="19"/>
      <c r="F1650" s="19"/>
      <c r="G1650" s="9"/>
    </row>
    <row r="1651" ht="22.5" customHeight="1">
      <c r="A1651" s="4"/>
      <c r="D1651" s="6"/>
      <c r="E1651" s="19"/>
      <c r="F1651" s="19"/>
      <c r="G1651" s="9"/>
    </row>
    <row r="1652" ht="22.5" customHeight="1">
      <c r="A1652" s="4"/>
      <c r="D1652" s="6"/>
      <c r="E1652" s="19"/>
      <c r="F1652" s="19"/>
      <c r="G1652" s="9"/>
    </row>
    <row r="1653" ht="22.5" customHeight="1">
      <c r="A1653" s="4"/>
      <c r="D1653" s="6"/>
      <c r="E1653" s="19"/>
      <c r="F1653" s="19"/>
      <c r="G1653" s="9"/>
    </row>
    <row r="1654" ht="22.5" customHeight="1">
      <c r="A1654" s="4"/>
      <c r="D1654" s="6"/>
      <c r="E1654" s="19"/>
      <c r="F1654" s="19"/>
      <c r="G1654" s="9"/>
    </row>
    <row r="1655" ht="22.5" customHeight="1">
      <c r="A1655" s="4"/>
      <c r="D1655" s="6"/>
      <c r="E1655" s="19"/>
      <c r="F1655" s="19"/>
      <c r="G1655" s="9"/>
    </row>
    <row r="1656" ht="22.5" customHeight="1">
      <c r="A1656" s="4"/>
      <c r="D1656" s="6"/>
      <c r="E1656" s="19"/>
      <c r="F1656" s="19"/>
      <c r="G1656" s="9"/>
    </row>
    <row r="1657" ht="22.5" customHeight="1">
      <c r="A1657" s="4"/>
      <c r="D1657" s="6"/>
      <c r="E1657" s="19"/>
      <c r="F1657" s="19"/>
      <c r="G1657" s="9"/>
    </row>
    <row r="1658" ht="22.5" customHeight="1">
      <c r="A1658" s="4"/>
      <c r="D1658" s="6"/>
      <c r="E1658" s="19"/>
      <c r="F1658" s="19"/>
      <c r="G1658" s="9"/>
    </row>
    <row r="1659" ht="22.5" customHeight="1">
      <c r="A1659" s="4"/>
      <c r="D1659" s="6"/>
      <c r="E1659" s="19"/>
      <c r="F1659" s="19"/>
      <c r="G1659" s="9"/>
    </row>
    <row r="1660" ht="22.5" customHeight="1">
      <c r="A1660" s="4"/>
      <c r="D1660" s="6"/>
      <c r="E1660" s="19"/>
      <c r="F1660" s="19"/>
      <c r="G1660" s="9"/>
    </row>
    <row r="1661" ht="22.5" customHeight="1">
      <c r="A1661" s="4"/>
      <c r="D1661" s="6"/>
      <c r="E1661" s="19"/>
      <c r="F1661" s="19"/>
      <c r="G1661" s="9"/>
    </row>
    <row r="1662" ht="22.5" customHeight="1">
      <c r="A1662" s="4"/>
      <c r="D1662" s="6"/>
      <c r="E1662" s="19"/>
      <c r="F1662" s="19"/>
      <c r="G1662" s="9"/>
    </row>
    <row r="1663" ht="22.5" customHeight="1">
      <c r="A1663" s="4"/>
      <c r="D1663" s="6"/>
      <c r="E1663" s="19"/>
      <c r="F1663" s="19"/>
      <c r="G1663" s="9"/>
    </row>
    <row r="1664" ht="22.5" customHeight="1">
      <c r="A1664" s="4"/>
      <c r="D1664" s="6"/>
      <c r="E1664" s="19"/>
      <c r="F1664" s="19"/>
      <c r="G1664" s="9"/>
    </row>
    <row r="1665" ht="22.5" customHeight="1">
      <c r="A1665" s="4"/>
      <c r="D1665" s="6"/>
      <c r="E1665" s="19"/>
      <c r="F1665" s="19"/>
      <c r="G1665" s="9"/>
    </row>
    <row r="1666" ht="22.5" customHeight="1">
      <c r="A1666" s="4"/>
      <c r="D1666" s="6"/>
      <c r="E1666" s="19"/>
      <c r="F1666" s="19"/>
      <c r="G1666" s="9"/>
    </row>
    <row r="1667" ht="22.5" customHeight="1">
      <c r="A1667" s="4"/>
      <c r="D1667" s="6"/>
      <c r="E1667" s="19"/>
      <c r="F1667" s="19"/>
      <c r="G1667" s="9"/>
    </row>
    <row r="1668" ht="22.5" customHeight="1">
      <c r="A1668" s="4"/>
      <c r="D1668" s="6"/>
      <c r="E1668" s="19"/>
      <c r="F1668" s="19"/>
      <c r="G1668" s="9"/>
    </row>
    <row r="1669" ht="22.5" customHeight="1">
      <c r="A1669" s="4"/>
      <c r="D1669" s="6"/>
      <c r="E1669" s="19"/>
      <c r="F1669" s="19"/>
      <c r="G1669" s="9"/>
    </row>
    <row r="1670" ht="22.5" customHeight="1">
      <c r="A1670" s="4"/>
      <c r="D1670" s="6"/>
      <c r="E1670" s="19"/>
      <c r="F1670" s="19"/>
      <c r="G1670" s="9"/>
    </row>
    <row r="1671" ht="22.5" customHeight="1">
      <c r="A1671" s="4"/>
      <c r="D1671" s="6"/>
      <c r="E1671" s="19"/>
      <c r="F1671" s="19"/>
      <c r="G1671" s="9"/>
    </row>
    <row r="1672" ht="22.5" customHeight="1">
      <c r="A1672" s="4"/>
      <c r="D1672" s="6"/>
      <c r="E1672" s="19"/>
      <c r="F1672" s="19"/>
      <c r="G1672" s="9"/>
    </row>
    <row r="1673" ht="22.5" customHeight="1">
      <c r="A1673" s="4"/>
      <c r="D1673" s="6"/>
      <c r="E1673" s="19"/>
      <c r="F1673" s="19"/>
      <c r="G1673" s="9"/>
    </row>
    <row r="1674" ht="22.5" customHeight="1">
      <c r="A1674" s="4"/>
      <c r="D1674" s="6"/>
      <c r="E1674" s="19"/>
      <c r="F1674" s="19"/>
      <c r="G1674" s="9"/>
    </row>
    <row r="1675" ht="22.5" customHeight="1">
      <c r="A1675" s="4"/>
      <c r="D1675" s="6"/>
      <c r="E1675" s="19"/>
      <c r="F1675" s="19"/>
      <c r="G1675" s="9"/>
    </row>
    <row r="1676" ht="22.5" customHeight="1">
      <c r="A1676" s="4"/>
      <c r="D1676" s="6"/>
      <c r="E1676" s="19"/>
      <c r="F1676" s="19"/>
      <c r="G1676" s="9"/>
    </row>
    <row r="1677" ht="22.5" customHeight="1">
      <c r="A1677" s="4"/>
      <c r="D1677" s="6"/>
      <c r="E1677" s="19"/>
      <c r="F1677" s="19"/>
      <c r="G1677" s="9"/>
    </row>
    <row r="1678" ht="22.5" customHeight="1">
      <c r="A1678" s="4"/>
      <c r="D1678" s="6"/>
      <c r="E1678" s="19"/>
      <c r="F1678" s="19"/>
      <c r="G1678" s="9"/>
    </row>
    <row r="1679" ht="22.5" customHeight="1">
      <c r="A1679" s="4"/>
      <c r="D1679" s="6"/>
      <c r="E1679" s="19"/>
      <c r="F1679" s="19"/>
      <c r="G1679" s="9"/>
    </row>
    <row r="1680" ht="22.5" customHeight="1">
      <c r="A1680" s="4"/>
      <c r="D1680" s="6"/>
      <c r="E1680" s="19"/>
      <c r="F1680" s="19"/>
      <c r="G1680" s="9"/>
    </row>
    <row r="1681" ht="22.5" customHeight="1">
      <c r="A1681" s="4"/>
      <c r="D1681" s="6"/>
      <c r="E1681" s="19"/>
      <c r="F1681" s="19"/>
      <c r="G1681" s="9"/>
    </row>
    <row r="1682" ht="22.5" customHeight="1">
      <c r="A1682" s="4"/>
      <c r="D1682" s="6"/>
      <c r="E1682" s="19"/>
      <c r="F1682" s="19"/>
      <c r="G1682" s="9"/>
    </row>
    <row r="1683" ht="22.5" customHeight="1">
      <c r="A1683" s="4"/>
      <c r="D1683" s="6"/>
      <c r="E1683" s="19"/>
      <c r="F1683" s="19"/>
      <c r="G1683" s="9"/>
    </row>
    <row r="1684" ht="22.5" customHeight="1">
      <c r="A1684" s="4"/>
      <c r="D1684" s="6"/>
      <c r="E1684" s="19"/>
      <c r="F1684" s="19"/>
      <c r="G1684" s="9"/>
    </row>
    <row r="1685" ht="22.5" customHeight="1">
      <c r="A1685" s="4"/>
      <c r="D1685" s="6"/>
      <c r="E1685" s="19"/>
      <c r="F1685" s="19"/>
      <c r="G1685" s="9"/>
    </row>
    <row r="1686" ht="22.5" customHeight="1">
      <c r="A1686" s="4"/>
      <c r="D1686" s="6"/>
      <c r="E1686" s="19"/>
      <c r="F1686" s="19"/>
      <c r="G1686" s="9"/>
    </row>
    <row r="1687" ht="22.5" customHeight="1">
      <c r="A1687" s="4"/>
      <c r="D1687" s="6"/>
      <c r="E1687" s="19"/>
      <c r="F1687" s="19"/>
      <c r="G1687" s="9"/>
    </row>
    <row r="1688" ht="22.5" customHeight="1">
      <c r="A1688" s="4"/>
      <c r="D1688" s="6"/>
      <c r="E1688" s="19"/>
      <c r="F1688" s="19"/>
      <c r="G1688" s="9"/>
    </row>
    <row r="1689" ht="22.5" customHeight="1">
      <c r="A1689" s="4"/>
      <c r="D1689" s="6"/>
      <c r="E1689" s="19"/>
      <c r="F1689" s="19"/>
      <c r="G1689" s="9"/>
    </row>
    <row r="1690" ht="22.5" customHeight="1">
      <c r="A1690" s="4"/>
      <c r="D1690" s="6"/>
      <c r="E1690" s="19"/>
      <c r="F1690" s="19"/>
      <c r="G1690" s="9"/>
    </row>
    <row r="1691" ht="22.5" customHeight="1">
      <c r="A1691" s="4"/>
      <c r="D1691" s="6"/>
      <c r="E1691" s="19"/>
      <c r="F1691" s="19"/>
      <c r="G1691" s="9"/>
    </row>
    <row r="1692" ht="22.5" customHeight="1">
      <c r="A1692" s="4"/>
      <c r="D1692" s="6"/>
      <c r="E1692" s="19"/>
      <c r="F1692" s="19"/>
      <c r="G1692" s="9"/>
    </row>
    <row r="1693" ht="22.5" customHeight="1">
      <c r="A1693" s="4"/>
      <c r="D1693" s="6"/>
      <c r="E1693" s="19"/>
      <c r="F1693" s="19"/>
      <c r="G1693" s="9"/>
    </row>
    <row r="1694" ht="22.5" customHeight="1">
      <c r="A1694" s="4"/>
      <c r="D1694" s="6"/>
      <c r="E1694" s="19"/>
      <c r="F1694" s="19"/>
      <c r="G1694" s="9"/>
    </row>
    <row r="1695" ht="22.5" customHeight="1">
      <c r="A1695" s="4"/>
      <c r="D1695" s="6"/>
      <c r="E1695" s="19"/>
      <c r="F1695" s="19"/>
      <c r="G1695" s="9"/>
    </row>
    <row r="1696" ht="22.5" customHeight="1">
      <c r="A1696" s="4"/>
      <c r="D1696" s="6"/>
      <c r="E1696" s="19"/>
      <c r="F1696" s="19"/>
      <c r="G1696" s="9"/>
    </row>
    <row r="1697" ht="22.5" customHeight="1">
      <c r="A1697" s="4"/>
      <c r="D1697" s="6"/>
      <c r="E1697" s="19"/>
      <c r="F1697" s="19"/>
      <c r="G1697" s="9"/>
    </row>
    <row r="1698" ht="22.5" customHeight="1">
      <c r="A1698" s="4"/>
      <c r="D1698" s="6"/>
      <c r="E1698" s="19"/>
      <c r="F1698" s="19"/>
      <c r="G1698" s="9"/>
    </row>
    <row r="1699" ht="22.5" customHeight="1">
      <c r="A1699" s="4"/>
      <c r="D1699" s="6"/>
      <c r="E1699" s="19"/>
      <c r="F1699" s="19"/>
      <c r="G1699" s="9"/>
    </row>
    <row r="1700" ht="22.5" customHeight="1">
      <c r="A1700" s="4"/>
      <c r="D1700" s="6"/>
      <c r="E1700" s="19"/>
      <c r="F1700" s="19"/>
      <c r="G1700" s="9"/>
    </row>
    <row r="1701" ht="22.5" customHeight="1">
      <c r="A1701" s="4"/>
      <c r="D1701" s="6"/>
      <c r="E1701" s="19"/>
      <c r="F1701" s="19"/>
      <c r="G1701" s="9"/>
    </row>
    <row r="1702" ht="22.5" customHeight="1">
      <c r="A1702" s="4"/>
      <c r="D1702" s="6"/>
      <c r="E1702" s="19"/>
      <c r="F1702" s="19"/>
      <c r="G1702" s="9"/>
    </row>
    <row r="1703" ht="22.5" customHeight="1">
      <c r="A1703" s="4"/>
      <c r="D1703" s="6"/>
      <c r="E1703" s="19"/>
      <c r="F1703" s="19"/>
      <c r="G1703" s="9"/>
    </row>
    <row r="1704" ht="22.5" customHeight="1">
      <c r="A1704" s="4"/>
      <c r="D1704" s="6"/>
      <c r="E1704" s="19"/>
      <c r="F1704" s="19"/>
      <c r="G1704" s="9"/>
    </row>
    <row r="1705" ht="22.5" customHeight="1">
      <c r="A1705" s="4"/>
      <c r="D1705" s="6"/>
      <c r="E1705" s="19"/>
      <c r="F1705" s="19"/>
      <c r="G1705" s="9"/>
    </row>
    <row r="1706" ht="22.5" customHeight="1">
      <c r="A1706" s="4"/>
      <c r="D1706" s="6"/>
      <c r="E1706" s="19"/>
      <c r="F1706" s="19"/>
      <c r="G1706" s="9"/>
    </row>
    <row r="1707" ht="22.5" customHeight="1">
      <c r="A1707" s="4"/>
      <c r="D1707" s="6"/>
      <c r="E1707" s="19"/>
      <c r="F1707" s="19"/>
      <c r="G1707" s="9"/>
    </row>
    <row r="1708" ht="22.5" customHeight="1">
      <c r="A1708" s="4"/>
      <c r="D1708" s="6"/>
      <c r="E1708" s="19"/>
      <c r="F1708" s="19"/>
      <c r="G1708" s="9"/>
    </row>
    <row r="1709" ht="22.5" customHeight="1">
      <c r="A1709" s="4"/>
      <c r="D1709" s="6"/>
      <c r="E1709" s="19"/>
      <c r="F1709" s="19"/>
      <c r="G1709" s="9"/>
    </row>
    <row r="1710" ht="22.5" customHeight="1">
      <c r="A1710" s="4"/>
      <c r="D1710" s="6"/>
      <c r="E1710" s="19"/>
      <c r="F1710" s="19"/>
      <c r="G1710" s="9"/>
    </row>
    <row r="1711" ht="22.5" customHeight="1">
      <c r="A1711" s="4"/>
      <c r="D1711" s="6"/>
      <c r="E1711" s="19"/>
      <c r="F1711" s="19"/>
      <c r="G1711" s="9"/>
    </row>
    <row r="1712" ht="22.5" customHeight="1">
      <c r="A1712" s="4"/>
      <c r="D1712" s="6"/>
      <c r="E1712" s="19"/>
      <c r="F1712" s="19"/>
      <c r="G1712" s="9"/>
    </row>
    <row r="1713" ht="22.5" customHeight="1">
      <c r="A1713" s="4"/>
      <c r="D1713" s="6"/>
      <c r="E1713" s="19"/>
      <c r="F1713" s="19"/>
      <c r="G1713" s="9"/>
    </row>
    <row r="1714" ht="22.5" customHeight="1">
      <c r="A1714" s="4"/>
      <c r="D1714" s="6"/>
      <c r="E1714" s="19"/>
      <c r="F1714" s="19"/>
      <c r="G1714" s="9"/>
    </row>
    <row r="1715" ht="22.5" customHeight="1">
      <c r="A1715" s="4"/>
      <c r="D1715" s="6"/>
      <c r="E1715" s="19"/>
      <c r="F1715" s="19"/>
      <c r="G1715" s="9"/>
    </row>
    <row r="1716" ht="22.5" customHeight="1">
      <c r="A1716" s="4"/>
      <c r="D1716" s="6"/>
      <c r="E1716" s="19"/>
      <c r="F1716" s="19"/>
      <c r="G1716" s="9"/>
    </row>
    <row r="1717" ht="22.5" customHeight="1">
      <c r="A1717" s="4"/>
      <c r="D1717" s="6"/>
      <c r="E1717" s="19"/>
      <c r="F1717" s="19"/>
      <c r="G1717" s="9"/>
    </row>
    <row r="1718" ht="22.5" customHeight="1">
      <c r="A1718" s="4"/>
      <c r="D1718" s="6"/>
      <c r="E1718" s="19"/>
      <c r="F1718" s="19"/>
      <c r="G1718" s="9"/>
    </row>
    <row r="1719" ht="22.5" customHeight="1">
      <c r="A1719" s="4"/>
      <c r="D1719" s="6"/>
      <c r="E1719" s="19"/>
      <c r="F1719" s="19"/>
      <c r="G1719" s="9"/>
    </row>
    <row r="1720" ht="22.5" customHeight="1">
      <c r="A1720" s="4"/>
      <c r="D1720" s="6"/>
      <c r="E1720" s="19"/>
      <c r="F1720" s="19"/>
      <c r="G1720" s="9"/>
    </row>
    <row r="1721" ht="22.5" customHeight="1">
      <c r="A1721" s="4"/>
      <c r="D1721" s="6"/>
      <c r="E1721" s="19"/>
      <c r="F1721" s="19"/>
      <c r="G1721" s="9"/>
    </row>
    <row r="1722" ht="22.5" customHeight="1">
      <c r="A1722" s="4"/>
      <c r="D1722" s="6"/>
      <c r="E1722" s="19"/>
      <c r="F1722" s="19"/>
      <c r="G1722" s="9"/>
    </row>
    <row r="1723" ht="22.5" customHeight="1">
      <c r="A1723" s="4"/>
      <c r="D1723" s="6"/>
      <c r="E1723" s="19"/>
      <c r="F1723" s="19"/>
      <c r="G1723" s="9"/>
    </row>
    <row r="1724" ht="22.5" customHeight="1">
      <c r="A1724" s="4"/>
      <c r="D1724" s="6"/>
      <c r="E1724" s="19"/>
      <c r="F1724" s="19"/>
      <c r="G1724" s="9"/>
    </row>
    <row r="1725" ht="22.5" customHeight="1">
      <c r="A1725" s="4"/>
      <c r="D1725" s="6"/>
      <c r="E1725" s="19"/>
      <c r="F1725" s="19"/>
      <c r="G1725" s="9"/>
    </row>
    <row r="1726" ht="22.5" customHeight="1">
      <c r="A1726" s="4"/>
      <c r="D1726" s="6"/>
      <c r="E1726" s="19"/>
      <c r="F1726" s="19"/>
      <c r="G1726" s="9"/>
    </row>
    <row r="1727" ht="22.5" customHeight="1">
      <c r="A1727" s="4"/>
      <c r="D1727" s="6"/>
      <c r="E1727" s="19"/>
      <c r="F1727" s="19"/>
      <c r="G1727" s="9"/>
    </row>
    <row r="1728" ht="22.5" customHeight="1">
      <c r="A1728" s="4"/>
      <c r="D1728" s="6"/>
      <c r="E1728" s="19"/>
      <c r="F1728" s="19"/>
      <c r="G1728" s="9"/>
    </row>
    <row r="1729" ht="22.5" customHeight="1">
      <c r="A1729" s="4"/>
      <c r="D1729" s="6"/>
      <c r="E1729" s="19"/>
      <c r="F1729" s="19"/>
      <c r="G1729" s="9"/>
    </row>
    <row r="1730" ht="22.5" customHeight="1">
      <c r="A1730" s="4"/>
      <c r="D1730" s="6"/>
      <c r="E1730" s="19"/>
      <c r="F1730" s="19"/>
      <c r="G1730" s="9"/>
    </row>
    <row r="1731" ht="22.5" customHeight="1">
      <c r="A1731" s="4"/>
      <c r="D1731" s="6"/>
      <c r="E1731" s="19"/>
      <c r="F1731" s="19"/>
      <c r="G1731" s="9"/>
    </row>
    <row r="1732" ht="22.5" customHeight="1">
      <c r="A1732" s="4"/>
      <c r="D1732" s="6"/>
      <c r="E1732" s="19"/>
      <c r="F1732" s="19"/>
      <c r="G1732" s="9"/>
    </row>
    <row r="1733" ht="22.5" customHeight="1">
      <c r="A1733" s="4"/>
      <c r="D1733" s="6"/>
      <c r="E1733" s="19"/>
      <c r="F1733" s="19"/>
      <c r="G1733" s="9"/>
    </row>
    <row r="1734" ht="22.5" customHeight="1">
      <c r="A1734" s="4"/>
      <c r="D1734" s="6"/>
      <c r="E1734" s="19"/>
      <c r="F1734" s="19"/>
      <c r="G1734" s="9"/>
    </row>
    <row r="1735" ht="22.5" customHeight="1">
      <c r="A1735" s="4"/>
      <c r="D1735" s="6"/>
      <c r="E1735" s="19"/>
      <c r="F1735" s="19"/>
      <c r="G1735" s="9"/>
    </row>
    <row r="1736" ht="22.5" customHeight="1">
      <c r="A1736" s="4"/>
      <c r="D1736" s="6"/>
      <c r="E1736" s="19"/>
      <c r="F1736" s="19"/>
      <c r="G1736" s="9"/>
    </row>
    <row r="1737" ht="22.5" customHeight="1">
      <c r="A1737" s="4"/>
      <c r="D1737" s="6"/>
      <c r="E1737" s="19"/>
      <c r="F1737" s="19"/>
      <c r="G1737" s="9"/>
    </row>
    <row r="1738" ht="22.5" customHeight="1">
      <c r="A1738" s="4"/>
      <c r="D1738" s="6"/>
      <c r="E1738" s="19"/>
      <c r="F1738" s="19"/>
      <c r="G1738" s="9"/>
    </row>
    <row r="1739" ht="22.5" customHeight="1">
      <c r="A1739" s="4"/>
      <c r="D1739" s="6"/>
      <c r="E1739" s="19"/>
      <c r="F1739" s="19"/>
      <c r="G1739" s="9"/>
    </row>
    <row r="1740" ht="22.5" customHeight="1">
      <c r="A1740" s="4"/>
      <c r="D1740" s="6"/>
      <c r="E1740" s="19"/>
      <c r="F1740" s="19"/>
      <c r="G1740" s="9"/>
    </row>
    <row r="1741" ht="22.5" customHeight="1">
      <c r="A1741" s="4"/>
      <c r="D1741" s="6"/>
      <c r="E1741" s="19"/>
      <c r="F1741" s="19"/>
      <c r="G1741" s="9"/>
    </row>
    <row r="1742" ht="22.5" customHeight="1">
      <c r="A1742" s="4"/>
      <c r="D1742" s="6"/>
      <c r="E1742" s="19"/>
      <c r="F1742" s="19"/>
      <c r="G1742" s="9"/>
    </row>
    <row r="1743" ht="22.5" customHeight="1">
      <c r="A1743" s="4"/>
      <c r="D1743" s="6"/>
      <c r="E1743" s="19"/>
      <c r="F1743" s="19"/>
      <c r="G1743" s="9"/>
    </row>
    <row r="1744" ht="22.5" customHeight="1">
      <c r="A1744" s="4"/>
      <c r="D1744" s="6"/>
      <c r="E1744" s="19"/>
      <c r="F1744" s="19"/>
      <c r="G1744" s="9"/>
    </row>
    <row r="1745" ht="22.5" customHeight="1">
      <c r="A1745" s="4"/>
      <c r="D1745" s="6"/>
      <c r="E1745" s="19"/>
      <c r="F1745" s="19"/>
      <c r="G1745" s="9"/>
    </row>
    <row r="1746" ht="22.5" customHeight="1">
      <c r="A1746" s="4"/>
      <c r="D1746" s="6"/>
      <c r="E1746" s="19"/>
      <c r="F1746" s="19"/>
      <c r="G1746" s="9"/>
    </row>
    <row r="1747" ht="22.5" customHeight="1">
      <c r="A1747" s="4"/>
      <c r="D1747" s="6"/>
      <c r="E1747" s="19"/>
      <c r="F1747" s="19"/>
      <c r="G1747" s="9"/>
    </row>
    <row r="1748" ht="22.5" customHeight="1">
      <c r="A1748" s="4"/>
      <c r="D1748" s="6"/>
      <c r="E1748" s="19"/>
      <c r="F1748" s="19"/>
      <c r="G1748" s="9"/>
    </row>
    <row r="1749" ht="22.5" customHeight="1">
      <c r="A1749" s="4"/>
      <c r="D1749" s="6"/>
      <c r="E1749" s="19"/>
      <c r="F1749" s="19"/>
      <c r="G1749" s="9"/>
    </row>
    <row r="1750" ht="22.5" customHeight="1">
      <c r="A1750" s="4"/>
      <c r="D1750" s="6"/>
      <c r="E1750" s="19"/>
      <c r="F1750" s="19"/>
      <c r="G1750" s="9"/>
    </row>
    <row r="1751" ht="22.5" customHeight="1">
      <c r="A1751" s="4"/>
      <c r="D1751" s="6"/>
      <c r="E1751" s="19"/>
      <c r="F1751" s="19"/>
      <c r="G1751" s="9"/>
    </row>
    <row r="1752" ht="22.5" customHeight="1">
      <c r="A1752" s="4"/>
      <c r="D1752" s="6"/>
      <c r="E1752" s="19"/>
      <c r="F1752" s="19"/>
      <c r="G1752" s="9"/>
    </row>
    <row r="1753" ht="22.5" customHeight="1">
      <c r="A1753" s="4"/>
      <c r="D1753" s="6"/>
      <c r="E1753" s="19"/>
      <c r="F1753" s="19"/>
      <c r="G1753" s="9"/>
    </row>
    <row r="1754" ht="22.5" customHeight="1">
      <c r="A1754" s="4"/>
      <c r="D1754" s="6"/>
      <c r="E1754" s="19"/>
      <c r="F1754" s="19"/>
      <c r="G1754" s="9"/>
    </row>
    <row r="1755" ht="22.5" customHeight="1">
      <c r="A1755" s="4"/>
      <c r="D1755" s="6"/>
      <c r="E1755" s="19"/>
      <c r="F1755" s="19"/>
      <c r="G1755" s="9"/>
    </row>
    <row r="1756" ht="22.5" customHeight="1">
      <c r="A1756" s="4"/>
      <c r="D1756" s="6"/>
      <c r="E1756" s="19"/>
      <c r="F1756" s="19"/>
      <c r="G1756" s="9"/>
    </row>
    <row r="1757" ht="22.5" customHeight="1">
      <c r="A1757" s="4"/>
      <c r="D1757" s="6"/>
      <c r="E1757" s="19"/>
      <c r="F1757" s="19"/>
      <c r="G1757" s="9"/>
    </row>
    <row r="1758" ht="22.5" customHeight="1">
      <c r="A1758" s="4"/>
      <c r="D1758" s="6"/>
      <c r="E1758" s="19"/>
      <c r="F1758" s="19"/>
      <c r="G1758" s="9"/>
    </row>
    <row r="1759" ht="22.5" customHeight="1">
      <c r="A1759" s="4"/>
      <c r="D1759" s="6"/>
      <c r="E1759" s="19"/>
      <c r="F1759" s="19"/>
      <c r="G1759" s="9"/>
    </row>
    <row r="1760" ht="22.5" customHeight="1">
      <c r="A1760" s="4"/>
      <c r="D1760" s="6"/>
      <c r="E1760" s="19"/>
      <c r="F1760" s="19"/>
      <c r="G1760" s="9"/>
    </row>
    <row r="1761" ht="22.5" customHeight="1">
      <c r="A1761" s="4"/>
      <c r="D1761" s="6"/>
      <c r="E1761" s="19"/>
      <c r="F1761" s="19"/>
      <c r="G1761" s="9"/>
    </row>
    <row r="1762" ht="22.5" customHeight="1">
      <c r="A1762" s="4"/>
      <c r="D1762" s="6"/>
      <c r="E1762" s="19"/>
      <c r="F1762" s="19"/>
      <c r="G1762" s="9"/>
    </row>
    <row r="1763" ht="22.5" customHeight="1">
      <c r="A1763" s="4"/>
      <c r="D1763" s="6"/>
      <c r="E1763" s="19"/>
      <c r="F1763" s="19"/>
      <c r="G1763" s="9"/>
    </row>
    <row r="1764" ht="22.5" customHeight="1">
      <c r="A1764" s="4"/>
      <c r="D1764" s="6"/>
      <c r="E1764" s="19"/>
      <c r="F1764" s="19"/>
      <c r="G1764" s="9"/>
    </row>
    <row r="1765" ht="22.5" customHeight="1">
      <c r="A1765" s="4"/>
      <c r="D1765" s="6"/>
      <c r="E1765" s="19"/>
      <c r="F1765" s="19"/>
      <c r="G1765" s="9"/>
    </row>
    <row r="1766" ht="22.5" customHeight="1">
      <c r="A1766" s="4"/>
      <c r="D1766" s="6"/>
      <c r="E1766" s="19"/>
      <c r="F1766" s="19"/>
      <c r="G1766" s="9"/>
    </row>
    <row r="1767" ht="22.5" customHeight="1">
      <c r="A1767" s="4"/>
      <c r="D1767" s="6"/>
      <c r="E1767" s="19"/>
      <c r="F1767" s="19"/>
      <c r="G1767" s="9"/>
    </row>
    <row r="1768" ht="22.5" customHeight="1">
      <c r="A1768" s="4"/>
      <c r="D1768" s="6"/>
      <c r="E1768" s="19"/>
      <c r="F1768" s="19"/>
      <c r="G1768" s="9"/>
    </row>
    <row r="1769" ht="22.5" customHeight="1">
      <c r="A1769" s="4"/>
      <c r="D1769" s="6"/>
      <c r="E1769" s="19"/>
      <c r="F1769" s="19"/>
      <c r="G1769" s="9"/>
    </row>
    <row r="1770" ht="22.5" customHeight="1">
      <c r="A1770" s="4"/>
      <c r="D1770" s="6"/>
      <c r="E1770" s="19"/>
      <c r="F1770" s="19"/>
      <c r="G1770" s="9"/>
    </row>
    <row r="1771" ht="22.5" customHeight="1">
      <c r="A1771" s="4"/>
      <c r="D1771" s="6"/>
      <c r="E1771" s="19"/>
      <c r="F1771" s="19"/>
      <c r="G1771" s="9"/>
    </row>
    <row r="1772" ht="22.5" customHeight="1">
      <c r="A1772" s="4"/>
      <c r="D1772" s="6"/>
      <c r="E1772" s="19"/>
      <c r="F1772" s="19"/>
      <c r="G1772" s="9"/>
    </row>
    <row r="1773" ht="22.5" customHeight="1">
      <c r="A1773" s="4"/>
      <c r="D1773" s="6"/>
      <c r="E1773" s="19"/>
      <c r="F1773" s="19"/>
      <c r="G1773" s="9"/>
    </row>
    <row r="1774" ht="22.5" customHeight="1">
      <c r="A1774" s="4"/>
      <c r="D1774" s="6"/>
      <c r="E1774" s="19"/>
      <c r="F1774" s="19"/>
      <c r="G1774" s="9"/>
    </row>
    <row r="1775" ht="22.5" customHeight="1">
      <c r="A1775" s="4"/>
      <c r="D1775" s="6"/>
      <c r="E1775" s="19"/>
      <c r="F1775" s="19"/>
      <c r="G1775" s="9"/>
    </row>
    <row r="1776" ht="22.5" customHeight="1">
      <c r="A1776" s="4"/>
      <c r="D1776" s="6"/>
      <c r="E1776" s="19"/>
      <c r="F1776" s="19"/>
      <c r="G1776" s="9"/>
    </row>
    <row r="1777" ht="22.5" customHeight="1">
      <c r="A1777" s="4"/>
      <c r="D1777" s="6"/>
      <c r="E1777" s="19"/>
      <c r="F1777" s="19"/>
      <c r="G1777" s="9"/>
    </row>
    <row r="1778" ht="22.5" customHeight="1">
      <c r="A1778" s="4"/>
      <c r="D1778" s="6"/>
      <c r="E1778" s="19"/>
      <c r="F1778" s="19"/>
      <c r="G1778" s="9"/>
    </row>
    <row r="1779" ht="22.5" customHeight="1">
      <c r="A1779" s="4"/>
      <c r="D1779" s="6"/>
      <c r="E1779" s="19"/>
      <c r="F1779" s="19"/>
      <c r="G1779" s="9"/>
    </row>
    <row r="1780" ht="22.5" customHeight="1">
      <c r="A1780" s="4"/>
      <c r="D1780" s="6"/>
      <c r="E1780" s="19"/>
      <c r="F1780" s="19"/>
      <c r="G1780" s="9"/>
    </row>
    <row r="1781" ht="22.5" customHeight="1">
      <c r="A1781" s="4"/>
      <c r="D1781" s="6"/>
      <c r="E1781" s="19"/>
      <c r="F1781" s="19"/>
      <c r="G1781" s="9"/>
    </row>
    <row r="1782" ht="22.5" customHeight="1">
      <c r="A1782" s="4"/>
      <c r="D1782" s="6"/>
      <c r="E1782" s="19"/>
      <c r="F1782" s="19"/>
      <c r="G1782" s="9"/>
    </row>
    <row r="1783" ht="22.5" customHeight="1">
      <c r="A1783" s="4"/>
      <c r="D1783" s="6"/>
      <c r="E1783" s="19"/>
      <c r="F1783" s="19"/>
      <c r="G1783" s="9"/>
    </row>
    <row r="1784" ht="22.5" customHeight="1">
      <c r="A1784" s="4"/>
      <c r="D1784" s="6"/>
      <c r="E1784" s="19"/>
      <c r="F1784" s="19"/>
      <c r="G1784" s="9"/>
    </row>
    <row r="1785" ht="22.5" customHeight="1">
      <c r="A1785" s="4"/>
      <c r="D1785" s="6"/>
      <c r="E1785" s="19"/>
      <c r="F1785" s="19"/>
      <c r="G1785" s="9"/>
    </row>
    <row r="1786" ht="22.5" customHeight="1">
      <c r="A1786" s="4"/>
      <c r="D1786" s="6"/>
      <c r="E1786" s="19"/>
      <c r="F1786" s="19"/>
      <c r="G1786" s="9"/>
    </row>
    <row r="1787" ht="22.5" customHeight="1">
      <c r="A1787" s="4"/>
      <c r="D1787" s="6"/>
      <c r="E1787" s="19"/>
      <c r="F1787" s="19"/>
      <c r="G1787" s="9"/>
    </row>
    <row r="1788" ht="22.5" customHeight="1">
      <c r="A1788" s="4"/>
      <c r="D1788" s="6"/>
      <c r="E1788" s="19"/>
      <c r="F1788" s="19"/>
      <c r="G1788" s="9"/>
    </row>
    <row r="1789" ht="22.5" customHeight="1">
      <c r="A1789" s="4"/>
      <c r="D1789" s="6"/>
      <c r="E1789" s="19"/>
      <c r="F1789" s="19"/>
      <c r="G1789" s="9"/>
    </row>
    <row r="1790" ht="22.5" customHeight="1">
      <c r="A1790" s="4"/>
      <c r="D1790" s="6"/>
      <c r="E1790" s="19"/>
      <c r="F1790" s="19"/>
      <c r="G1790" s="9"/>
    </row>
    <row r="1791" ht="22.5" customHeight="1">
      <c r="A1791" s="4"/>
      <c r="D1791" s="6"/>
      <c r="E1791" s="19"/>
      <c r="F1791" s="19"/>
      <c r="G1791" s="9"/>
    </row>
    <row r="1792" ht="22.5" customHeight="1">
      <c r="A1792" s="4"/>
      <c r="D1792" s="6"/>
      <c r="E1792" s="19"/>
      <c r="F1792" s="19"/>
      <c r="G1792" s="9"/>
    </row>
    <row r="1793" ht="22.5" customHeight="1">
      <c r="A1793" s="4"/>
      <c r="D1793" s="6"/>
      <c r="E1793" s="19"/>
      <c r="F1793" s="19"/>
      <c r="G1793" s="9"/>
    </row>
    <row r="1794" ht="22.5" customHeight="1">
      <c r="A1794" s="4"/>
      <c r="D1794" s="6"/>
      <c r="E1794" s="19"/>
      <c r="F1794" s="19"/>
      <c r="G1794" s="9"/>
    </row>
    <row r="1795" ht="22.5" customHeight="1">
      <c r="A1795" s="4"/>
      <c r="D1795" s="6"/>
      <c r="E1795" s="19"/>
      <c r="F1795" s="19"/>
      <c r="G1795" s="9"/>
    </row>
    <row r="1796" ht="22.5" customHeight="1">
      <c r="A1796" s="4"/>
      <c r="D1796" s="6"/>
      <c r="E1796" s="19"/>
      <c r="F1796" s="19"/>
      <c r="G1796" s="9"/>
    </row>
    <row r="1797" ht="22.5" customHeight="1">
      <c r="A1797" s="4"/>
      <c r="D1797" s="6"/>
      <c r="E1797" s="19"/>
      <c r="F1797" s="19"/>
      <c r="G1797" s="9"/>
    </row>
    <row r="1798" ht="22.5" customHeight="1">
      <c r="A1798" s="4"/>
      <c r="D1798" s="6"/>
      <c r="E1798" s="19"/>
      <c r="F1798" s="19"/>
      <c r="G1798" s="9"/>
    </row>
    <row r="1799" ht="22.5" customHeight="1">
      <c r="A1799" s="4"/>
      <c r="D1799" s="6"/>
      <c r="E1799" s="19"/>
      <c r="F1799" s="19"/>
      <c r="G1799" s="9"/>
    </row>
    <row r="1800" ht="22.5" customHeight="1">
      <c r="A1800" s="4"/>
      <c r="D1800" s="6"/>
      <c r="E1800" s="19"/>
      <c r="F1800" s="19"/>
      <c r="G1800" s="9"/>
    </row>
    <row r="1801" ht="22.5" customHeight="1">
      <c r="A1801" s="4"/>
      <c r="D1801" s="6"/>
      <c r="E1801" s="19"/>
      <c r="F1801" s="19"/>
      <c r="G1801" s="9"/>
    </row>
    <row r="1802" ht="22.5" customHeight="1">
      <c r="A1802" s="4"/>
      <c r="D1802" s="6"/>
      <c r="E1802" s="19"/>
      <c r="F1802" s="19"/>
      <c r="G1802" s="9"/>
    </row>
    <row r="1803" ht="22.5" customHeight="1">
      <c r="A1803" s="4"/>
      <c r="D1803" s="6"/>
      <c r="E1803" s="19"/>
      <c r="F1803" s="19"/>
      <c r="G1803" s="9"/>
    </row>
    <row r="1804" ht="22.5" customHeight="1">
      <c r="A1804" s="4"/>
      <c r="D1804" s="6"/>
      <c r="E1804" s="19"/>
      <c r="F1804" s="19"/>
      <c r="G1804" s="9"/>
    </row>
    <row r="1805" ht="22.5" customHeight="1">
      <c r="A1805" s="4"/>
      <c r="D1805" s="6"/>
      <c r="E1805" s="19"/>
      <c r="F1805" s="19"/>
      <c r="G1805" s="9"/>
    </row>
    <row r="1806" ht="22.5" customHeight="1">
      <c r="A1806" s="4"/>
      <c r="D1806" s="6"/>
      <c r="E1806" s="19"/>
      <c r="F1806" s="19"/>
      <c r="G1806" s="9"/>
    </row>
    <row r="1807" ht="22.5" customHeight="1">
      <c r="A1807" s="4"/>
      <c r="D1807" s="6"/>
      <c r="E1807" s="19"/>
      <c r="F1807" s="19"/>
      <c r="G1807" s="9"/>
    </row>
    <row r="1808" ht="22.5" customHeight="1">
      <c r="A1808" s="4"/>
      <c r="D1808" s="6"/>
      <c r="E1808" s="19"/>
      <c r="F1808" s="19"/>
      <c r="G1808" s="9"/>
    </row>
    <row r="1809" ht="22.5" customHeight="1">
      <c r="A1809" s="4"/>
      <c r="D1809" s="6"/>
      <c r="E1809" s="19"/>
      <c r="F1809" s="19"/>
      <c r="G1809" s="9"/>
    </row>
    <row r="1810" ht="22.5" customHeight="1">
      <c r="A1810" s="4"/>
      <c r="D1810" s="6"/>
      <c r="E1810" s="19"/>
      <c r="F1810" s="19"/>
      <c r="G1810" s="9"/>
    </row>
    <row r="1811" ht="22.5" customHeight="1">
      <c r="A1811" s="4"/>
      <c r="D1811" s="6"/>
      <c r="E1811" s="19"/>
      <c r="F1811" s="19"/>
      <c r="G1811" s="9"/>
    </row>
    <row r="1812" ht="22.5" customHeight="1">
      <c r="A1812" s="4"/>
      <c r="D1812" s="6"/>
      <c r="E1812" s="19"/>
      <c r="F1812" s="19"/>
      <c r="G1812" s="9"/>
    </row>
    <row r="1813" ht="22.5" customHeight="1">
      <c r="A1813" s="4"/>
      <c r="D1813" s="6"/>
      <c r="E1813" s="19"/>
      <c r="F1813" s="19"/>
      <c r="G1813" s="9"/>
    </row>
    <row r="1814" ht="22.5" customHeight="1">
      <c r="A1814" s="4"/>
      <c r="D1814" s="6"/>
      <c r="E1814" s="19"/>
      <c r="F1814" s="19"/>
      <c r="G1814" s="9"/>
    </row>
    <row r="1815" ht="22.5" customHeight="1">
      <c r="A1815" s="4"/>
      <c r="D1815" s="6"/>
      <c r="E1815" s="19"/>
      <c r="F1815" s="19"/>
      <c r="G1815" s="9"/>
    </row>
    <row r="1816" ht="22.5" customHeight="1">
      <c r="A1816" s="4"/>
      <c r="D1816" s="6"/>
      <c r="E1816" s="19"/>
      <c r="F1816" s="19"/>
      <c r="G1816" s="9"/>
    </row>
    <row r="1817" ht="22.5" customHeight="1">
      <c r="A1817" s="4"/>
      <c r="D1817" s="6"/>
      <c r="E1817" s="19"/>
      <c r="F1817" s="19"/>
      <c r="G1817" s="9"/>
    </row>
    <row r="1818" ht="22.5" customHeight="1">
      <c r="A1818" s="4"/>
      <c r="D1818" s="6"/>
      <c r="E1818" s="19"/>
      <c r="F1818" s="19"/>
      <c r="G1818" s="9"/>
    </row>
    <row r="1819" ht="22.5" customHeight="1">
      <c r="A1819" s="4"/>
      <c r="D1819" s="6"/>
      <c r="E1819" s="19"/>
      <c r="F1819" s="19"/>
      <c r="G1819" s="9"/>
    </row>
    <row r="1820" ht="22.5" customHeight="1">
      <c r="A1820" s="4"/>
      <c r="D1820" s="6"/>
      <c r="E1820" s="19"/>
      <c r="F1820" s="19"/>
      <c r="G1820" s="9"/>
    </row>
    <row r="1821" ht="22.5" customHeight="1">
      <c r="A1821" s="4"/>
      <c r="D1821" s="6"/>
      <c r="E1821" s="19"/>
      <c r="F1821" s="19"/>
      <c r="G1821" s="9"/>
    </row>
    <row r="1822" ht="22.5" customHeight="1">
      <c r="A1822" s="4"/>
      <c r="D1822" s="6"/>
      <c r="E1822" s="19"/>
      <c r="F1822" s="19"/>
      <c r="G1822" s="9"/>
    </row>
    <row r="1823" ht="22.5" customHeight="1">
      <c r="A1823" s="4"/>
      <c r="D1823" s="6"/>
      <c r="E1823" s="19"/>
      <c r="F1823" s="19"/>
      <c r="G1823" s="9"/>
    </row>
    <row r="1824" ht="22.5" customHeight="1">
      <c r="A1824" s="4"/>
      <c r="D1824" s="6"/>
      <c r="E1824" s="19"/>
      <c r="F1824" s="19"/>
      <c r="G1824" s="9"/>
    </row>
    <row r="1825" ht="22.5" customHeight="1">
      <c r="A1825" s="4"/>
      <c r="D1825" s="6"/>
      <c r="E1825" s="19"/>
      <c r="F1825" s="19"/>
      <c r="G1825" s="9"/>
    </row>
    <row r="1826" ht="22.5" customHeight="1">
      <c r="A1826" s="4"/>
      <c r="D1826" s="6"/>
      <c r="E1826" s="19"/>
      <c r="F1826" s="19"/>
      <c r="G1826" s="9"/>
    </row>
    <row r="1827" ht="22.5" customHeight="1">
      <c r="A1827" s="4"/>
      <c r="D1827" s="6"/>
      <c r="E1827" s="19"/>
      <c r="F1827" s="19"/>
      <c r="G1827" s="9"/>
    </row>
    <row r="1828" ht="22.5" customHeight="1">
      <c r="A1828" s="4"/>
      <c r="D1828" s="6"/>
      <c r="E1828" s="19"/>
      <c r="F1828" s="19"/>
      <c r="G1828" s="9"/>
    </row>
    <row r="1829" ht="22.5" customHeight="1">
      <c r="A1829" s="4"/>
      <c r="D1829" s="6"/>
      <c r="E1829" s="19"/>
      <c r="F1829" s="19"/>
      <c r="G1829" s="9"/>
    </row>
    <row r="1830" ht="22.5" customHeight="1">
      <c r="A1830" s="4"/>
      <c r="D1830" s="6"/>
      <c r="E1830" s="19"/>
      <c r="F1830" s="19"/>
      <c r="G1830" s="9"/>
    </row>
    <row r="1831" ht="22.5" customHeight="1">
      <c r="A1831" s="4"/>
      <c r="D1831" s="6"/>
      <c r="E1831" s="19"/>
      <c r="F1831" s="19"/>
      <c r="G1831" s="9"/>
    </row>
    <row r="1832" ht="22.5" customHeight="1">
      <c r="A1832" s="4"/>
      <c r="D1832" s="6"/>
      <c r="E1832" s="19"/>
      <c r="F1832" s="19"/>
      <c r="G1832" s="9"/>
    </row>
    <row r="1833" ht="22.5" customHeight="1">
      <c r="A1833" s="4"/>
      <c r="D1833" s="6"/>
      <c r="E1833" s="19"/>
      <c r="F1833" s="19"/>
      <c r="G1833" s="9"/>
    </row>
    <row r="1834" ht="22.5" customHeight="1">
      <c r="A1834" s="4"/>
      <c r="D1834" s="6"/>
      <c r="E1834" s="19"/>
      <c r="F1834" s="19"/>
      <c r="G1834" s="9"/>
    </row>
    <row r="1835" ht="22.5" customHeight="1">
      <c r="A1835" s="4"/>
      <c r="D1835" s="6"/>
      <c r="E1835" s="19"/>
      <c r="F1835" s="19"/>
      <c r="G1835" s="9"/>
    </row>
    <row r="1836" ht="22.5" customHeight="1">
      <c r="A1836" s="4"/>
      <c r="D1836" s="6"/>
      <c r="E1836" s="19"/>
      <c r="F1836" s="19"/>
      <c r="G1836" s="9"/>
    </row>
    <row r="1837" ht="22.5" customHeight="1">
      <c r="A1837" s="4"/>
      <c r="D1837" s="6"/>
      <c r="E1837" s="19"/>
      <c r="F1837" s="19"/>
      <c r="G1837" s="9"/>
    </row>
    <row r="1838" ht="22.5" customHeight="1">
      <c r="A1838" s="4"/>
      <c r="D1838" s="6"/>
      <c r="E1838" s="19"/>
      <c r="F1838" s="19"/>
      <c r="G1838" s="9"/>
    </row>
    <row r="1839" ht="22.5" customHeight="1">
      <c r="A1839" s="4"/>
      <c r="D1839" s="6"/>
      <c r="E1839" s="19"/>
      <c r="F1839" s="19"/>
      <c r="G1839" s="9"/>
    </row>
    <row r="1840" ht="22.5" customHeight="1">
      <c r="A1840" s="4"/>
      <c r="D1840" s="6"/>
      <c r="E1840" s="19"/>
      <c r="F1840" s="19"/>
      <c r="G1840" s="9"/>
    </row>
    <row r="1841" ht="22.5" customHeight="1">
      <c r="A1841" s="4"/>
      <c r="D1841" s="6"/>
      <c r="E1841" s="19"/>
      <c r="F1841" s="19"/>
      <c r="G1841" s="9"/>
    </row>
    <row r="1842" ht="22.5" customHeight="1">
      <c r="A1842" s="4"/>
      <c r="D1842" s="6"/>
      <c r="E1842" s="19"/>
      <c r="F1842" s="19"/>
      <c r="G1842" s="9"/>
    </row>
    <row r="1843" ht="22.5" customHeight="1">
      <c r="A1843" s="4"/>
      <c r="D1843" s="6"/>
      <c r="E1843" s="19"/>
      <c r="F1843" s="19"/>
      <c r="G1843" s="9"/>
    </row>
    <row r="1844" ht="22.5" customHeight="1">
      <c r="A1844" s="4"/>
      <c r="D1844" s="6"/>
      <c r="E1844" s="19"/>
      <c r="F1844" s="19"/>
      <c r="G1844" s="9"/>
    </row>
    <row r="1845" ht="22.5" customHeight="1">
      <c r="A1845" s="4"/>
      <c r="D1845" s="6"/>
      <c r="E1845" s="19"/>
      <c r="F1845" s="19"/>
      <c r="G1845" s="9"/>
    </row>
    <row r="1846" ht="22.5" customHeight="1">
      <c r="A1846" s="4"/>
      <c r="D1846" s="6"/>
      <c r="E1846" s="19"/>
      <c r="F1846" s="19"/>
      <c r="G1846" s="9"/>
    </row>
    <row r="1847" ht="22.5" customHeight="1">
      <c r="A1847" s="4"/>
      <c r="D1847" s="6"/>
      <c r="E1847" s="19"/>
      <c r="F1847" s="19"/>
      <c r="G1847" s="9"/>
    </row>
    <row r="1848" ht="22.5" customHeight="1">
      <c r="A1848" s="4"/>
      <c r="D1848" s="6"/>
      <c r="E1848" s="19"/>
      <c r="F1848" s="19"/>
      <c r="G1848" s="9"/>
    </row>
    <row r="1849" ht="22.5" customHeight="1">
      <c r="A1849" s="4"/>
      <c r="D1849" s="6"/>
      <c r="E1849" s="19"/>
      <c r="F1849" s="19"/>
      <c r="G1849" s="9"/>
    </row>
    <row r="1850" ht="22.5" customHeight="1">
      <c r="A1850" s="4"/>
      <c r="D1850" s="6"/>
      <c r="E1850" s="19"/>
      <c r="F1850" s="19"/>
      <c r="G1850" s="9"/>
    </row>
    <row r="1851" ht="22.5" customHeight="1">
      <c r="A1851" s="4"/>
      <c r="D1851" s="6"/>
      <c r="E1851" s="19"/>
      <c r="F1851" s="19"/>
      <c r="G1851" s="9"/>
    </row>
    <row r="1852" ht="22.5" customHeight="1">
      <c r="A1852" s="4"/>
      <c r="D1852" s="6"/>
      <c r="E1852" s="19"/>
      <c r="F1852" s="19"/>
      <c r="G1852" s="9"/>
    </row>
    <row r="1853" ht="22.5" customHeight="1">
      <c r="A1853" s="4"/>
      <c r="D1853" s="6"/>
      <c r="E1853" s="19"/>
      <c r="F1853" s="19"/>
      <c r="G1853" s="9"/>
    </row>
    <row r="1854" ht="22.5" customHeight="1">
      <c r="A1854" s="4"/>
      <c r="D1854" s="6"/>
      <c r="E1854" s="19"/>
      <c r="F1854" s="19"/>
      <c r="G1854" s="9"/>
    </row>
    <row r="1855" ht="22.5" customHeight="1">
      <c r="A1855" s="4"/>
      <c r="D1855" s="6"/>
      <c r="E1855" s="19"/>
      <c r="F1855" s="19"/>
      <c r="G1855" s="9"/>
    </row>
    <row r="1856" ht="22.5" customHeight="1">
      <c r="A1856" s="4"/>
      <c r="D1856" s="6"/>
      <c r="E1856" s="19"/>
      <c r="F1856" s="19"/>
      <c r="G1856" s="9"/>
    </row>
    <row r="1857" ht="22.5" customHeight="1">
      <c r="A1857" s="4"/>
      <c r="D1857" s="6"/>
      <c r="E1857" s="19"/>
      <c r="F1857" s="19"/>
      <c r="G1857" s="9"/>
    </row>
    <row r="1858" ht="22.5" customHeight="1">
      <c r="A1858" s="4"/>
      <c r="D1858" s="6"/>
      <c r="E1858" s="19"/>
      <c r="F1858" s="19"/>
      <c r="G1858" s="9"/>
    </row>
    <row r="1859" ht="22.5" customHeight="1">
      <c r="A1859" s="4"/>
      <c r="D1859" s="6"/>
      <c r="E1859" s="19"/>
      <c r="F1859" s="19"/>
      <c r="G1859" s="9"/>
    </row>
    <row r="1860" ht="22.5" customHeight="1">
      <c r="A1860" s="4"/>
      <c r="D1860" s="6"/>
      <c r="E1860" s="19"/>
      <c r="F1860" s="19"/>
      <c r="G1860" s="9"/>
    </row>
    <row r="1861" ht="22.5" customHeight="1">
      <c r="A1861" s="4"/>
      <c r="D1861" s="6"/>
      <c r="E1861" s="19"/>
      <c r="F1861" s="19"/>
      <c r="G1861" s="9"/>
    </row>
    <row r="1862" ht="22.5" customHeight="1">
      <c r="A1862" s="4"/>
      <c r="D1862" s="6"/>
      <c r="E1862" s="19"/>
      <c r="F1862" s="19"/>
      <c r="G1862" s="9"/>
    </row>
    <row r="1863" ht="22.5" customHeight="1">
      <c r="A1863" s="4"/>
      <c r="D1863" s="6"/>
      <c r="E1863" s="19"/>
      <c r="F1863" s="19"/>
      <c r="G1863" s="9"/>
    </row>
    <row r="1864" ht="22.5" customHeight="1">
      <c r="A1864" s="4"/>
      <c r="D1864" s="6"/>
      <c r="E1864" s="19"/>
      <c r="F1864" s="19"/>
      <c r="G1864" s="9"/>
    </row>
    <row r="1865" ht="22.5" customHeight="1">
      <c r="A1865" s="4"/>
      <c r="D1865" s="6"/>
      <c r="E1865" s="19"/>
      <c r="F1865" s="19"/>
      <c r="G1865" s="9"/>
    </row>
    <row r="1866" ht="22.5" customHeight="1">
      <c r="A1866" s="4"/>
      <c r="D1866" s="6"/>
      <c r="E1866" s="19"/>
      <c r="F1866" s="19"/>
      <c r="G1866" s="9"/>
    </row>
    <row r="1867" ht="22.5" customHeight="1">
      <c r="A1867" s="4"/>
      <c r="D1867" s="6"/>
      <c r="E1867" s="19"/>
      <c r="F1867" s="19"/>
      <c r="G1867" s="9"/>
    </row>
    <row r="1868" ht="22.5" customHeight="1">
      <c r="A1868" s="4"/>
      <c r="D1868" s="6"/>
      <c r="E1868" s="19"/>
      <c r="F1868" s="19"/>
      <c r="G1868" s="9"/>
    </row>
    <row r="1869" ht="22.5" customHeight="1">
      <c r="A1869" s="4"/>
      <c r="D1869" s="6"/>
      <c r="E1869" s="19"/>
      <c r="F1869" s="19"/>
      <c r="G1869" s="9"/>
    </row>
    <row r="1870" ht="22.5" customHeight="1">
      <c r="A1870" s="4"/>
      <c r="D1870" s="6"/>
      <c r="E1870" s="19"/>
      <c r="F1870" s="19"/>
      <c r="G1870" s="9"/>
    </row>
    <row r="1871" ht="22.5" customHeight="1">
      <c r="A1871" s="4"/>
      <c r="D1871" s="6"/>
      <c r="E1871" s="19"/>
      <c r="F1871" s="19"/>
      <c r="G1871" s="9"/>
    </row>
    <row r="1872" ht="22.5" customHeight="1">
      <c r="A1872" s="4"/>
      <c r="D1872" s="6"/>
      <c r="E1872" s="19"/>
      <c r="F1872" s="19"/>
      <c r="G1872" s="9"/>
    </row>
    <row r="1873" ht="22.5" customHeight="1">
      <c r="A1873" s="4"/>
      <c r="D1873" s="6"/>
      <c r="E1873" s="19"/>
      <c r="F1873" s="19"/>
      <c r="G1873" s="9"/>
    </row>
    <row r="1874" ht="22.5" customHeight="1">
      <c r="A1874" s="4"/>
      <c r="D1874" s="6"/>
      <c r="E1874" s="19"/>
      <c r="F1874" s="19"/>
      <c r="G1874" s="9"/>
    </row>
    <row r="1875" ht="22.5" customHeight="1">
      <c r="A1875" s="4"/>
      <c r="D1875" s="6"/>
      <c r="E1875" s="19"/>
      <c r="F1875" s="19"/>
      <c r="G1875" s="9"/>
    </row>
    <row r="1876" ht="22.5" customHeight="1">
      <c r="A1876" s="4"/>
      <c r="D1876" s="6"/>
      <c r="E1876" s="19"/>
      <c r="F1876" s="19"/>
      <c r="G1876" s="9"/>
    </row>
    <row r="1877" ht="22.5" customHeight="1">
      <c r="A1877" s="4"/>
      <c r="D1877" s="6"/>
      <c r="E1877" s="19"/>
      <c r="F1877" s="19"/>
      <c r="G1877" s="9"/>
    </row>
    <row r="1878" ht="22.5" customHeight="1">
      <c r="A1878" s="4"/>
      <c r="D1878" s="6"/>
      <c r="E1878" s="19"/>
      <c r="F1878" s="19"/>
      <c r="G1878" s="9"/>
    </row>
    <row r="1879" ht="22.5" customHeight="1">
      <c r="A1879" s="4"/>
      <c r="D1879" s="6"/>
      <c r="E1879" s="19"/>
      <c r="F1879" s="19"/>
      <c r="G1879" s="9"/>
    </row>
    <row r="1880" ht="22.5" customHeight="1">
      <c r="A1880" s="4"/>
      <c r="D1880" s="6"/>
      <c r="E1880" s="19"/>
      <c r="F1880" s="19"/>
      <c r="G1880" s="9"/>
    </row>
    <row r="1881" ht="22.5" customHeight="1">
      <c r="A1881" s="4"/>
      <c r="D1881" s="6"/>
      <c r="E1881" s="19"/>
      <c r="F1881" s="19"/>
      <c r="G1881" s="9"/>
    </row>
    <row r="1882" ht="22.5" customHeight="1">
      <c r="A1882" s="4"/>
      <c r="D1882" s="6"/>
      <c r="E1882" s="19"/>
      <c r="F1882" s="19"/>
      <c r="G1882" s="9"/>
    </row>
    <row r="1883" ht="22.5" customHeight="1">
      <c r="A1883" s="4"/>
      <c r="D1883" s="6"/>
      <c r="E1883" s="19"/>
      <c r="F1883" s="19"/>
      <c r="G1883" s="9"/>
    </row>
    <row r="1884" ht="22.5" customHeight="1">
      <c r="A1884" s="4"/>
      <c r="D1884" s="6"/>
      <c r="E1884" s="19"/>
      <c r="F1884" s="19"/>
      <c r="G1884" s="9"/>
    </row>
    <row r="1885" ht="22.5" customHeight="1">
      <c r="A1885" s="4"/>
      <c r="D1885" s="6"/>
      <c r="E1885" s="19"/>
      <c r="F1885" s="19"/>
      <c r="G1885" s="9"/>
    </row>
    <row r="1886" ht="22.5" customHeight="1">
      <c r="A1886" s="4"/>
      <c r="D1886" s="6"/>
      <c r="E1886" s="19"/>
      <c r="F1886" s="19"/>
      <c r="G1886" s="9"/>
    </row>
    <row r="1887" ht="22.5" customHeight="1">
      <c r="A1887" s="4"/>
      <c r="D1887" s="6"/>
      <c r="E1887" s="19"/>
      <c r="F1887" s="19"/>
      <c r="G1887" s="9"/>
    </row>
    <row r="1888" ht="22.5" customHeight="1">
      <c r="A1888" s="4"/>
      <c r="D1888" s="6"/>
      <c r="E1888" s="19"/>
      <c r="F1888" s="19"/>
      <c r="G1888" s="9"/>
    </row>
    <row r="1889" ht="22.5" customHeight="1">
      <c r="A1889" s="4"/>
      <c r="D1889" s="6"/>
      <c r="E1889" s="19"/>
      <c r="F1889" s="19"/>
      <c r="G1889" s="9"/>
    </row>
    <row r="1890" ht="22.5" customHeight="1">
      <c r="A1890" s="4"/>
      <c r="D1890" s="6"/>
      <c r="E1890" s="19"/>
      <c r="F1890" s="19"/>
      <c r="G1890" s="9"/>
    </row>
    <row r="1891" ht="22.5" customHeight="1">
      <c r="A1891" s="4"/>
      <c r="D1891" s="6"/>
      <c r="E1891" s="19"/>
      <c r="F1891" s="19"/>
      <c r="G1891" s="9"/>
    </row>
    <row r="1892" ht="22.5" customHeight="1">
      <c r="A1892" s="4"/>
      <c r="D1892" s="6"/>
      <c r="E1892" s="19"/>
      <c r="F1892" s="19"/>
      <c r="G1892" s="9"/>
    </row>
    <row r="1893" ht="22.5" customHeight="1">
      <c r="A1893" s="4"/>
      <c r="D1893" s="6"/>
      <c r="E1893" s="19"/>
      <c r="F1893" s="19"/>
      <c r="G1893" s="9"/>
    </row>
    <row r="1894" ht="22.5" customHeight="1">
      <c r="A1894" s="4"/>
      <c r="D1894" s="6"/>
      <c r="E1894" s="19"/>
      <c r="F1894" s="19"/>
      <c r="G1894" s="9"/>
    </row>
    <row r="1895" ht="22.5" customHeight="1">
      <c r="A1895" s="4"/>
      <c r="D1895" s="6"/>
      <c r="E1895" s="19"/>
      <c r="F1895" s="19"/>
      <c r="G1895" s="9"/>
    </row>
    <row r="1896" ht="22.5" customHeight="1">
      <c r="A1896" s="4"/>
      <c r="D1896" s="6"/>
      <c r="E1896" s="19"/>
      <c r="F1896" s="19"/>
      <c r="G1896" s="9"/>
    </row>
    <row r="1897" ht="22.5" customHeight="1">
      <c r="A1897" s="4"/>
      <c r="D1897" s="6"/>
      <c r="E1897" s="19"/>
      <c r="F1897" s="19"/>
      <c r="G1897" s="9"/>
    </row>
    <row r="1898" ht="22.5" customHeight="1">
      <c r="A1898" s="4"/>
      <c r="D1898" s="6"/>
      <c r="E1898" s="19"/>
      <c r="F1898" s="19"/>
      <c r="G1898" s="9"/>
    </row>
    <row r="1899" ht="22.5" customHeight="1">
      <c r="A1899" s="4"/>
      <c r="D1899" s="6"/>
      <c r="E1899" s="19"/>
      <c r="F1899" s="19"/>
      <c r="G1899" s="9"/>
    </row>
    <row r="1900" ht="22.5" customHeight="1">
      <c r="A1900" s="4"/>
      <c r="D1900" s="6"/>
      <c r="E1900" s="19"/>
      <c r="F1900" s="19"/>
      <c r="G1900" s="9"/>
    </row>
    <row r="1901" ht="22.5" customHeight="1">
      <c r="A1901" s="4"/>
      <c r="D1901" s="6"/>
      <c r="E1901" s="19"/>
      <c r="F1901" s="19"/>
      <c r="G1901" s="9"/>
    </row>
    <row r="1902">
      <c r="A1902" s="26"/>
      <c r="B1902" s="27"/>
      <c r="D1902" s="28"/>
    </row>
    <row r="1903">
      <c r="D1903" s="29"/>
      <c r="H1903" s="26"/>
      <c r="I1903" s="27"/>
      <c r="O1903" s="30">
        <v>1436.0</v>
      </c>
      <c r="P1903" s="30">
        <v>1.392757660167131</v>
      </c>
    </row>
    <row r="1904">
      <c r="D1904" s="29"/>
      <c r="O1904" s="26">
        <v>46140.0</v>
      </c>
      <c r="P1904" s="27">
        <v>0.9410995370370371</v>
      </c>
      <c r="Q1904" s="31" t="s">
        <v>245</v>
      </c>
      <c r="R1904" s="30">
        <v>2000.0</v>
      </c>
      <c r="S1904" s="31" t="s">
        <v>10</v>
      </c>
      <c r="T1904" s="31" t="s">
        <v>246</v>
      </c>
      <c r="V1904" s="30">
        <v>1436.0</v>
      </c>
      <c r="W1904" s="30">
        <v>1.392757660167131</v>
      </c>
    </row>
    <row r="1905">
      <c r="D1905" s="28"/>
      <c r="G1905" s="31" t="s">
        <v>247</v>
      </c>
      <c r="V1905" s="26"/>
      <c r="W1905" s="27"/>
    </row>
    <row r="1906">
      <c r="D1906" s="28"/>
      <c r="G1906" s="31" t="s">
        <v>247</v>
      </c>
    </row>
    <row r="1907">
      <c r="D1907" s="29"/>
    </row>
    <row r="1908">
      <c r="D1908" s="29"/>
    </row>
    <row r="1909">
      <c r="D1909" s="29"/>
    </row>
    <row r="1910">
      <c r="D1910" s="29"/>
    </row>
    <row r="1911">
      <c r="D1911" s="29"/>
    </row>
    <row r="1912">
      <c r="D1912" s="29"/>
    </row>
    <row r="1913">
      <c r="D1913" s="29"/>
    </row>
    <row r="1914">
      <c r="D1914" s="29"/>
    </row>
    <row r="1915">
      <c r="D1915" s="29"/>
    </row>
    <row r="1916">
      <c r="D1916" s="29"/>
    </row>
    <row r="1917">
      <c r="D1917" s="29"/>
    </row>
    <row r="1918">
      <c r="D1918" s="29"/>
    </row>
    <row r="1919">
      <c r="D1919" s="29"/>
    </row>
    <row r="1920">
      <c r="D1920" s="29"/>
    </row>
    <row r="1921">
      <c r="D1921" s="29"/>
    </row>
    <row r="1922">
      <c r="D1922" s="29"/>
    </row>
    <row r="1923">
      <c r="D1923" s="29"/>
    </row>
    <row r="1924">
      <c r="D1924" s="29"/>
    </row>
    <row r="1925">
      <c r="D1925" s="29"/>
    </row>
    <row r="1926">
      <c r="D1926" s="29"/>
    </row>
    <row r="1927">
      <c r="D1927" s="29"/>
    </row>
    <row r="1928">
      <c r="D1928" s="29"/>
    </row>
    <row r="1929">
      <c r="D1929" s="29"/>
    </row>
    <row r="1930">
      <c r="D1930" s="29"/>
    </row>
    <row r="1931">
      <c r="D1931" s="29"/>
    </row>
    <row r="1932">
      <c r="D1932" s="29"/>
    </row>
    <row r="1933">
      <c r="D1933" s="29"/>
    </row>
    <row r="1934">
      <c r="D1934" s="29"/>
    </row>
    <row r="1935">
      <c r="D1935" s="29"/>
    </row>
    <row r="1936">
      <c r="D1936" s="29"/>
    </row>
    <row r="1937">
      <c r="D1937" s="29"/>
    </row>
    <row r="1938">
      <c r="D1938" s="29"/>
    </row>
    <row r="1939">
      <c r="D1939" s="29"/>
    </row>
    <row r="1940">
      <c r="D1940" s="29"/>
    </row>
    <row r="1941">
      <c r="D1941" s="29"/>
    </row>
    <row r="1942">
      <c r="D1942" s="29"/>
    </row>
    <row r="1943">
      <c r="D1943" s="29"/>
    </row>
    <row r="1944">
      <c r="D1944" s="29"/>
    </row>
    <row r="1945">
      <c r="D1945" s="29"/>
    </row>
    <row r="1946">
      <c r="D1946" s="29"/>
    </row>
    <row r="1947">
      <c r="D1947" s="29"/>
    </row>
    <row r="1948">
      <c r="D1948" s="29"/>
    </row>
    <row r="1949">
      <c r="D1949" s="29"/>
    </row>
    <row r="1950">
      <c r="D1950" s="29"/>
    </row>
    <row r="1951">
      <c r="D1951" s="29"/>
    </row>
    <row r="1952">
      <c r="D1952" s="29"/>
    </row>
    <row r="1953">
      <c r="D1953" s="29"/>
    </row>
    <row r="1954">
      <c r="D1954" s="29"/>
    </row>
    <row r="1955">
      <c r="D1955" s="29"/>
    </row>
    <row r="1956">
      <c r="D1956" s="29"/>
    </row>
    <row r="1957">
      <c r="D1957" s="29"/>
    </row>
    <row r="1958">
      <c r="D1958" s="29"/>
    </row>
    <row r="1959">
      <c r="D1959" s="29"/>
    </row>
    <row r="1960">
      <c r="D1960" s="29"/>
    </row>
    <row r="1961">
      <c r="D1961" s="29"/>
    </row>
    <row r="1962">
      <c r="D1962" s="29"/>
    </row>
    <row r="1963">
      <c r="D1963" s="29"/>
    </row>
    <row r="1964">
      <c r="D1964" s="29"/>
    </row>
    <row r="1965">
      <c r="D1965" s="29"/>
    </row>
    <row r="1966">
      <c r="D1966" s="29"/>
    </row>
    <row r="1967">
      <c r="D1967" s="29"/>
    </row>
    <row r="1968">
      <c r="D1968" s="29"/>
    </row>
    <row r="1969">
      <c r="D1969" s="29"/>
    </row>
    <row r="1970">
      <c r="D1970" s="29"/>
    </row>
    <row r="1971">
      <c r="D1971" s="29"/>
    </row>
    <row r="1972">
      <c r="D1972" s="29"/>
    </row>
    <row r="1973">
      <c r="D1973" s="29"/>
    </row>
    <row r="1974">
      <c r="D1974" s="29"/>
    </row>
    <row r="1975">
      <c r="D1975" s="29"/>
    </row>
    <row r="1976">
      <c r="D1976" s="29"/>
    </row>
    <row r="1977">
      <c r="D1977" s="29"/>
    </row>
    <row r="1978">
      <c r="D1978" s="29"/>
    </row>
    <row r="1979">
      <c r="D1979" s="29"/>
    </row>
    <row r="1980">
      <c r="D1980" s="29"/>
    </row>
    <row r="1981">
      <c r="D1981" s="29"/>
    </row>
    <row r="1982">
      <c r="D1982" s="29"/>
    </row>
    <row r="1983">
      <c r="D1983" s="29"/>
    </row>
    <row r="1984">
      <c r="D1984" s="29"/>
    </row>
    <row r="1985">
      <c r="D1985" s="29"/>
    </row>
    <row r="1986">
      <c r="D1986" s="29"/>
    </row>
    <row r="1987">
      <c r="D1987" s="29"/>
    </row>
    <row r="1988">
      <c r="D1988" s="29"/>
    </row>
    <row r="1989">
      <c r="D1989" s="29"/>
    </row>
    <row r="1990">
      <c r="D1990" s="29"/>
    </row>
    <row r="1991">
      <c r="D1991" s="29"/>
    </row>
    <row r="1992">
      <c r="D1992" s="29"/>
    </row>
    <row r="1993">
      <c r="D1993" s="29"/>
    </row>
    <row r="1994">
      <c r="D1994" s="29"/>
    </row>
    <row r="1995">
      <c r="D1995" s="29"/>
    </row>
    <row r="1996">
      <c r="D1996" s="29"/>
    </row>
    <row r="1997">
      <c r="D1997" s="29"/>
    </row>
    <row r="1998">
      <c r="D1998" s="29"/>
    </row>
    <row r="1999">
      <c r="D1999" s="29"/>
    </row>
    <row r="2000">
      <c r="D2000" s="29"/>
    </row>
    <row r="2001">
      <c r="D2001" s="29"/>
    </row>
    <row r="2002">
      <c r="D2002" s="29"/>
    </row>
    <row r="2003">
      <c r="D2003" s="29"/>
    </row>
    <row r="2004">
      <c r="D2004" s="29"/>
    </row>
    <row r="2005">
      <c r="D2005" s="29"/>
    </row>
    <row r="2006">
      <c r="D2006" s="29"/>
    </row>
    <row r="2007">
      <c r="D2007" s="29"/>
    </row>
    <row r="2008">
      <c r="D2008" s="29"/>
    </row>
    <row r="2009">
      <c r="D2009" s="29"/>
    </row>
    <row r="2010">
      <c r="D2010" s="29"/>
    </row>
    <row r="2011">
      <c r="D2011" s="29"/>
    </row>
    <row r="2012">
      <c r="D2012" s="29"/>
    </row>
    <row r="2013">
      <c r="D2013" s="29"/>
    </row>
    <row r="2014">
      <c r="D2014" s="29"/>
    </row>
    <row r="2015">
      <c r="D2015" s="29"/>
    </row>
    <row r="2016">
      <c r="D2016" s="29"/>
    </row>
    <row r="2017">
      <c r="D2017" s="29"/>
    </row>
    <row r="2018">
      <c r="D2018" s="29"/>
    </row>
    <row r="2019">
      <c r="D2019" s="29"/>
    </row>
    <row r="2020">
      <c r="D2020" s="29"/>
    </row>
    <row r="2021">
      <c r="D2021" s="29"/>
    </row>
    <row r="2022">
      <c r="D2022" s="29"/>
    </row>
    <row r="2023">
      <c r="D2023" s="29"/>
    </row>
    <row r="2024">
      <c r="D2024" s="29"/>
    </row>
    <row r="2025">
      <c r="D2025" s="29"/>
    </row>
    <row r="2026">
      <c r="D2026" s="29"/>
    </row>
    <row r="2027">
      <c r="D2027" s="29"/>
    </row>
    <row r="2028">
      <c r="D2028" s="29"/>
    </row>
    <row r="2029">
      <c r="D2029" s="29"/>
    </row>
    <row r="2030">
      <c r="D2030" s="29"/>
    </row>
    <row r="2031">
      <c r="D2031" s="29"/>
    </row>
    <row r="2032">
      <c r="D2032" s="29"/>
    </row>
    <row r="2033">
      <c r="D2033" s="29"/>
    </row>
    <row r="2034">
      <c r="D2034" s="29"/>
    </row>
  </sheetData>
  <dataValidations>
    <dataValidation type="custom" allowBlank="1" showDropDown="1" sqref="A2:A1901">
      <formula1>OR(NOT(ISERROR(DATEVALUE(A2))), AND(ISNUMBER(A2), LEFT(CELL("format", A2))="D"))</formula1>
    </dataValidation>
    <dataValidation type="list" allowBlank="1" sqref="F2:F1901">
      <formula1>"Cuidado Personal,Gastos Bancarios,Formación espiritual,Vehiculo: Mantenimiento,Bienestar/Deportes,Préstamos y Financiación,Salidas y Viajes,Materiales,Indumentaria,Vivienda Casa de Papá,Vehiculo: Consumo,Seguro de retiro,Sanitarios/Grifería,Bazar y Blanco"&amp;",Donacion/regalos,Oficio,Seguridad Social / Aportes,Moto: Consumo,Terminaciones: Cocina,Baño/Accesorios,Instalaciones,Vivienda: Mantenimiento,Moto: Mantenimiento,Aporte Familiar,Transporte,Mobiliario Fijo y Equipamiento,Comida,Telefonia movil"</formula1>
    </dataValidation>
    <dataValidation type="custom" allowBlank="1" showDropDown="1" sqref="D2:D1901">
      <formula1>AND(ISNUMBER(D2),(NOT(OR(NOT(ISERROR(DATEVALUE(D2))), AND(ISNUMBER(D2), LEFT(CELL("format", D2))="D")))))</formula1>
    </dataValidation>
    <dataValidation type="list" allowBlank="1" sqref="G2:G1901">
      <formula1>"Tarjeta Crédito,Transferencia,Debito en cuenta,Tarjeta Débito,Recibo de Sueldo,Efectivo"</formula1>
    </dataValidation>
    <dataValidation type="list" allowBlank="1" sqref="E2:E1901">
      <formula1>"Gasto Corriente,Educación/Formación,Obra/Estructura,Ahorro/Inversiones,Equipamiento/Mobiliario"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3.25"/>
  </cols>
  <sheetData>
    <row r="1">
      <c r="A1" s="31" t="s">
        <v>10</v>
      </c>
      <c r="B1" s="31" t="s">
        <v>11</v>
      </c>
      <c r="C1" s="31" t="s">
        <v>12</v>
      </c>
    </row>
    <row r="2">
      <c r="A2" s="31" t="s">
        <v>34</v>
      </c>
      <c r="B2" s="31" t="s">
        <v>14</v>
      </c>
      <c r="C2" s="31" t="s">
        <v>18</v>
      </c>
    </row>
    <row r="3">
      <c r="A3" s="31" t="s">
        <v>58</v>
      </c>
      <c r="B3" s="31" t="s">
        <v>17</v>
      </c>
      <c r="C3" s="31" t="s">
        <v>26</v>
      </c>
    </row>
    <row r="4">
      <c r="A4" s="31" t="s">
        <v>16</v>
      </c>
      <c r="B4" s="31" t="s">
        <v>20</v>
      </c>
      <c r="C4" s="31" t="s">
        <v>29</v>
      </c>
    </row>
    <row r="5">
      <c r="A5" s="31" t="s">
        <v>65</v>
      </c>
      <c r="B5" s="31" t="s">
        <v>23</v>
      </c>
      <c r="C5" s="31" t="s">
        <v>78</v>
      </c>
    </row>
    <row r="6">
      <c r="B6" s="31" t="s">
        <v>25</v>
      </c>
      <c r="C6" s="31" t="s">
        <v>83</v>
      </c>
    </row>
    <row r="7">
      <c r="B7" s="31" t="s">
        <v>31</v>
      </c>
    </row>
    <row r="8">
      <c r="B8" s="31" t="s">
        <v>35</v>
      </c>
    </row>
    <row r="9">
      <c r="B9" s="31" t="s">
        <v>39</v>
      </c>
    </row>
    <row r="10">
      <c r="B10" s="31" t="s">
        <v>44</v>
      </c>
    </row>
    <row r="11">
      <c r="B11" s="31" t="s">
        <v>52</v>
      </c>
    </row>
    <row r="12">
      <c r="B12" s="31" t="s">
        <v>20</v>
      </c>
    </row>
    <row r="13">
      <c r="B13" s="31" t="s">
        <v>59</v>
      </c>
    </row>
    <row r="14">
      <c r="B14" s="31" t="s">
        <v>66</v>
      </c>
    </row>
    <row r="15">
      <c r="B15" s="31" t="s">
        <v>69</v>
      </c>
    </row>
    <row r="16">
      <c r="B16" s="31" t="s">
        <v>86</v>
      </c>
    </row>
    <row r="17">
      <c r="B17" s="31" t="s">
        <v>14</v>
      </c>
    </row>
    <row r="18">
      <c r="B18" s="31" t="s">
        <v>157</v>
      </c>
    </row>
    <row r="19">
      <c r="B19" s="31" t="s">
        <v>77</v>
      </c>
    </row>
    <row r="20">
      <c r="B20" s="31" t="s">
        <v>28</v>
      </c>
    </row>
    <row r="21">
      <c r="B21" s="31" t="s">
        <v>75</v>
      </c>
    </row>
    <row r="22">
      <c r="B22" s="31" t="s">
        <v>128</v>
      </c>
    </row>
    <row r="23">
      <c r="B23" s="31" t="s">
        <v>125</v>
      </c>
    </row>
    <row r="24">
      <c r="B24" s="31" t="s">
        <v>139</v>
      </c>
    </row>
    <row r="25">
      <c r="B25" s="31" t="s">
        <v>118</v>
      </c>
    </row>
    <row r="26">
      <c r="B26" s="31" t="s">
        <v>92</v>
      </c>
    </row>
    <row r="27">
      <c r="B27" s="31" t="s">
        <v>90</v>
      </c>
    </row>
    <row r="28">
      <c r="B28" s="31" t="s">
        <v>61</v>
      </c>
    </row>
  </sheetData>
  <drawing r:id="rId1"/>
</worksheet>
</file>